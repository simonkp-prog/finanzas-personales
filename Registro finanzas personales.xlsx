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Simón\Desktop\"/>
    </mc:Choice>
  </mc:AlternateContent>
  <xr:revisionPtr revIDLastSave="0" documentId="8_{46E43715-1B91-4232-BBFA-01697B799D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2" r:id="rId1"/>
    <sheet name="Inversiones" sheetId="3" r:id="rId2"/>
    <sheet name="Registros" sheetId="1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1" i="1" l="1"/>
  <c r="H120" i="1"/>
  <c r="I120" i="1"/>
  <c r="J120" i="1"/>
  <c r="K120" i="1"/>
  <c r="O31" i="2"/>
  <c r="G13" i="2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K14" i="2"/>
  <c r="H119" i="1"/>
  <c r="I119" i="1"/>
  <c r="H118" i="1"/>
  <c r="I118" i="1"/>
  <c r="H117" i="1"/>
  <c r="I117" i="1"/>
  <c r="H116" i="1"/>
  <c r="I116" i="1"/>
  <c r="F15" i="3"/>
  <c r="G15" i="3" s="1"/>
  <c r="E17" i="3" l="1"/>
  <c r="D17" i="3"/>
  <c r="D8" i="3"/>
  <c r="D10" i="3" s="1"/>
  <c r="E7" i="3"/>
  <c r="F7" i="3" s="1"/>
  <c r="G7" i="3" s="1"/>
  <c r="E10" i="3"/>
  <c r="F5" i="3"/>
  <c r="G5" i="3"/>
  <c r="F14" i="3"/>
  <c r="G14" i="3" s="1"/>
  <c r="G17" i="3" s="1"/>
  <c r="F6" i="3"/>
  <c r="G6" i="3" s="1"/>
  <c r="F8" i="3"/>
  <c r="G8" i="3" s="1"/>
  <c r="F4" i="3"/>
  <c r="G4" i="3" s="1"/>
  <c r="K31" i="2"/>
  <c r="G14" i="2" l="1"/>
  <c r="F17" i="3"/>
  <c r="G10" i="3"/>
  <c r="F10" i="3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C19" i="2"/>
  <c r="S13" i="2" s="1"/>
  <c r="S19" i="2" s="1"/>
  <c r="G15" i="2" s="1"/>
  <c r="D14" i="2" l="1"/>
  <c r="D13" i="2"/>
  <c r="D15" i="2"/>
  <c r="G19" i="2"/>
  <c r="T13" i="2"/>
  <c r="T19" i="2" s="1"/>
  <c r="H16" i="2"/>
  <c r="H18" i="2"/>
  <c r="H17" i="2"/>
  <c r="P19" i="2"/>
  <c r="P27" i="2"/>
  <c r="L16" i="2"/>
  <c r="L24" i="2"/>
  <c r="L28" i="2"/>
  <c r="P20" i="2"/>
  <c r="P28" i="2"/>
  <c r="L17" i="2"/>
  <c r="L25" i="2"/>
  <c r="L27" i="2"/>
  <c r="L14" i="2"/>
  <c r="P21" i="2"/>
  <c r="P29" i="2"/>
  <c r="L18" i="2"/>
  <c r="L26" i="2"/>
  <c r="P23" i="2"/>
  <c r="L22" i="2"/>
  <c r="P14" i="2"/>
  <c r="P22" i="2"/>
  <c r="P30" i="2"/>
  <c r="L19" i="2"/>
  <c r="L20" i="2"/>
  <c r="P15" i="2"/>
  <c r="P13" i="2"/>
  <c r="P16" i="2"/>
  <c r="P24" i="2"/>
  <c r="L13" i="2"/>
  <c r="L21" i="2"/>
  <c r="L29" i="2"/>
  <c r="P17" i="2"/>
  <c r="P25" i="2"/>
  <c r="P18" i="2"/>
  <c r="P26" i="2"/>
  <c r="L15" i="2"/>
  <c r="L23" i="2"/>
  <c r="H13" i="2"/>
  <c r="L30" i="2"/>
  <c r="H15" i="2"/>
  <c r="H14" i="2"/>
  <c r="D19" i="2" l="1"/>
  <c r="B8" i="2" s="1"/>
  <c r="H19" i="2"/>
  <c r="F8" i="2" s="1"/>
  <c r="L31" i="2"/>
  <c r="P31" i="2"/>
  <c r="H5" i="2" l="1"/>
</calcChain>
</file>

<file path=xl/sharedStrings.xml><?xml version="1.0" encoding="utf-8"?>
<sst xmlns="http://schemas.openxmlformats.org/spreadsheetml/2006/main" count="455" uniqueCount="152">
  <si>
    <t>Categorias</t>
  </si>
  <si>
    <t>Subcategorias</t>
  </si>
  <si>
    <t>Fecha</t>
  </si>
  <si>
    <t>Descripción</t>
  </si>
  <si>
    <t>Categoría</t>
  </si>
  <si>
    <t>Subcategoría</t>
  </si>
  <si>
    <t>Sueldo</t>
  </si>
  <si>
    <t>Gastos del mes</t>
  </si>
  <si>
    <t>Deseos</t>
  </si>
  <si>
    <t>Salida a comer</t>
  </si>
  <si>
    <t>Saldo</t>
  </si>
  <si>
    <t>Cuentas</t>
  </si>
  <si>
    <t>Transporte</t>
  </si>
  <si>
    <t>Ahorro</t>
  </si>
  <si>
    <t>Arriendo</t>
  </si>
  <si>
    <t>Carrete</t>
  </si>
  <si>
    <t>Deudas</t>
  </si>
  <si>
    <t>Escalada</t>
  </si>
  <si>
    <t>Ropa</t>
  </si>
  <si>
    <t>Auto</t>
  </si>
  <si>
    <t>Efectivo</t>
  </si>
  <si>
    <t>Comida</t>
  </si>
  <si>
    <t>Compras dpto</t>
  </si>
  <si>
    <t>Cuenta Ahorro</t>
  </si>
  <si>
    <t>Carga Bip!</t>
  </si>
  <si>
    <t>Regalos</t>
  </si>
  <si>
    <t>Salud</t>
  </si>
  <si>
    <t>Otros</t>
  </si>
  <si>
    <t>Productos varios</t>
  </si>
  <si>
    <t>Cumplo</t>
  </si>
  <si>
    <t>XTB</t>
  </si>
  <si>
    <t>Fraccional</t>
  </si>
  <si>
    <t>Fintual</t>
  </si>
  <si>
    <t>Total</t>
  </si>
  <si>
    <t>Febrero</t>
  </si>
  <si>
    <t>Marzo</t>
  </si>
  <si>
    <t>Abril</t>
  </si>
  <si>
    <t>Mayo</t>
  </si>
  <si>
    <t>Carga bencina</t>
  </si>
  <si>
    <t>Junio</t>
  </si>
  <si>
    <t>Julio</t>
  </si>
  <si>
    <t>Agosto</t>
  </si>
  <si>
    <t>Septiembre</t>
  </si>
  <si>
    <t>Ingreso</t>
  </si>
  <si>
    <t>Egreso</t>
  </si>
  <si>
    <t>Enero</t>
  </si>
  <si>
    <t>Octubre</t>
  </si>
  <si>
    <t>Noviembre</t>
  </si>
  <si>
    <t>Diciembre</t>
  </si>
  <si>
    <t>Mes</t>
  </si>
  <si>
    <t>Año</t>
  </si>
  <si>
    <t>Ingresos totales</t>
  </si>
  <si>
    <t>Egresos totales</t>
  </si>
  <si>
    <t>Resumen Ingresos</t>
  </si>
  <si>
    <t>Resumen Egresos</t>
  </si>
  <si>
    <t>Categoria</t>
  </si>
  <si>
    <t>Ppto</t>
  </si>
  <si>
    <t>Real</t>
  </si>
  <si>
    <t>Registros</t>
  </si>
  <si>
    <t>Supermercado</t>
  </si>
  <si>
    <t>Equipo escalada</t>
  </si>
  <si>
    <t>Monto inversión</t>
  </si>
  <si>
    <t>Plataforma</t>
  </si>
  <si>
    <t>Fondo</t>
  </si>
  <si>
    <t>Monto actual</t>
  </si>
  <si>
    <t>Mercadopago</t>
  </si>
  <si>
    <t>Departamento</t>
  </si>
  <si>
    <t>Jubilación</t>
  </si>
  <si>
    <t>Rentabilidad</t>
  </si>
  <si>
    <t>% Rentabilidad</t>
  </si>
  <si>
    <t>Fondo Jubilación</t>
  </si>
  <si>
    <t>Fondo compra departamento</t>
  </si>
  <si>
    <t>Buda Bitcoins</t>
  </si>
  <si>
    <t>Buda Ethereum</t>
  </si>
  <si>
    <t>Sueldo marzo</t>
  </si>
  <si>
    <t>Depósito Gabo</t>
  </si>
  <si>
    <t>Compra Easy luces</t>
  </si>
  <si>
    <t>Uber</t>
  </si>
  <si>
    <t>Arriendo y cuentas Javi</t>
  </si>
  <si>
    <t>Compra unimarc</t>
  </si>
  <si>
    <t>Mensualidad Stargym</t>
  </si>
  <si>
    <t>Virgin mobile</t>
  </si>
  <si>
    <t>Carga Bip</t>
  </si>
  <si>
    <t>Almuerzo</t>
  </si>
  <si>
    <t>Regalo Thomas</t>
  </si>
  <si>
    <t>Regalo Thomas (Tomi)</t>
  </si>
  <si>
    <t>Buffet cumple abuela Javi</t>
  </si>
  <si>
    <t>Cabaña Bahia Coique (Charly + Kathy)</t>
  </si>
  <si>
    <t>Cabaña Bahia Coique (Ivan + Cami)</t>
  </si>
  <si>
    <t>Completos dominó Pool</t>
  </si>
  <si>
    <t>Regalo Thomas (Carrasco)</t>
  </si>
  <si>
    <t>Sansivierias</t>
  </si>
  <si>
    <t>Terno matrimonio</t>
  </si>
  <si>
    <t>Ropa matrimonio</t>
  </si>
  <si>
    <t xml:space="preserve">Ripley </t>
  </si>
  <si>
    <t>M Plaza egaña</t>
  </si>
  <si>
    <t>Instalación luces dpto (Clemente)</t>
  </si>
  <si>
    <t>Ampolletas auto</t>
  </si>
  <si>
    <t>Carga bencina (Inicio vacaciones)</t>
  </si>
  <si>
    <t>Giro efectivo</t>
  </si>
  <si>
    <t>Bencina</t>
  </si>
  <si>
    <t>Cabaña Bahia Coique (Cofa)</t>
  </si>
  <si>
    <t>Cabaña Bahia Coique</t>
  </si>
  <si>
    <t>Compra comida cabaña Futangue</t>
  </si>
  <si>
    <t>Cafeteria parque futangue</t>
  </si>
  <si>
    <t>Cabaña Bahia Coique (Joaco) + Bencina</t>
  </si>
  <si>
    <t>Termas cancagua</t>
  </si>
  <si>
    <t>Regalo Matri Oyane &amp; Isi</t>
  </si>
  <si>
    <t>Cafeteria cancagua</t>
  </si>
  <si>
    <t>Cena club alemán Frutillar</t>
  </si>
  <si>
    <t>Despedida soltero Oyane (Joaco)</t>
  </si>
  <si>
    <t>Despedida soltero Oyane (Cuota joaco)</t>
  </si>
  <si>
    <t>Compra supermercado frutillar</t>
  </si>
  <si>
    <t>Almuerzo angelmó</t>
  </si>
  <si>
    <t>Ilustraciones aves Frutillar</t>
  </si>
  <si>
    <t>Kuchen</t>
  </si>
  <si>
    <t>Bencina (Fin vacaciones)</t>
  </si>
  <si>
    <t>GGCC mes Febrero</t>
  </si>
  <si>
    <t>Autorescate plata desde cta ahorro</t>
  </si>
  <si>
    <t>Compra maceteros</t>
  </si>
  <si>
    <t>Estacionamiento Portal ñuñoa</t>
  </si>
  <si>
    <t>Sueldo abril</t>
  </si>
  <si>
    <t>Huevitos de chocolate</t>
  </si>
  <si>
    <t>Completos dominó Pool(Kako)</t>
  </si>
  <si>
    <t>Compra farmarcia</t>
  </si>
  <si>
    <t>Compra muebles y decoración IKEA</t>
  </si>
  <si>
    <t>Cuenta aguas andinas (febrero y marzo)</t>
  </si>
  <si>
    <t>Cuenta movistar</t>
  </si>
  <si>
    <t>Metrogas</t>
  </si>
  <si>
    <t>Enel</t>
  </si>
  <si>
    <t>Arriendo abril</t>
  </si>
  <si>
    <t>Vitrificado mesa</t>
  </si>
  <si>
    <t>Bebida</t>
  </si>
  <si>
    <t>Botilleria</t>
  </si>
  <si>
    <t>Compra lider</t>
  </si>
  <si>
    <t>Jardin teresa</t>
  </si>
  <si>
    <t>Transferencia Mecanica plástica</t>
  </si>
  <si>
    <t>Cabaña Bahia Coique (Theodor)</t>
  </si>
  <si>
    <t>Youtube premium</t>
  </si>
  <si>
    <t>Comida noche de Betrayal</t>
  </si>
  <si>
    <t>Regalo Mati</t>
  </si>
  <si>
    <t>Sushi</t>
  </si>
  <si>
    <t>Huevitos Chocolate Mariana</t>
  </si>
  <si>
    <t>Bolsa regalo Mati</t>
  </si>
  <si>
    <t>Cuenta bar cumple Mati</t>
  </si>
  <si>
    <t>Transferencia Cumplo</t>
  </si>
  <si>
    <t>Saldo en cuenta mes anterior</t>
  </si>
  <si>
    <t>Busca palabra sueldo</t>
  </si>
  <si>
    <t>Busca palabra Javi</t>
  </si>
  <si>
    <t>Depósitos Javi</t>
  </si>
  <si>
    <t>Otro depósitos</t>
  </si>
  <si>
    <t>Finanzas personales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</si>
</sst>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164" formatCode="&quot;$&quot;#,##0"/>
    <numFmt numFmtId="165" formatCode="&quot;$&quot;#,##0.00"/>
  </numFmts>
  <fonts count="16" x14ac:knownFonts="1"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0"/>
      <color theme="0" tint="-0.34998626667073579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9CCA7C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106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164" fontId="3" fillId="0" borderId="0" xfId="0" applyNumberFormat="1" applyFont="1"/>
    <xf numFmtId="164" fontId="2" fillId="0" borderId="0" xfId="0" applyNumberFormat="1" applyFont="1"/>
    <xf numFmtId="0" fontId="4" fillId="3" borderId="0" xfId="0" applyFont="1" applyFill="1"/>
    <xf numFmtId="164" fontId="3" fillId="0" borderId="3" xfId="0" applyNumberFormat="1" applyFont="1" applyBorder="1"/>
    <xf numFmtId="0" fontId="3" fillId="0" borderId="8" xfId="0" applyFont="1" applyBorder="1"/>
    <xf numFmtId="164" fontId="3" fillId="0" borderId="9" xfId="0" applyNumberFormat="1" applyFont="1" applyBorder="1"/>
    <xf numFmtId="14" fontId="3" fillId="0" borderId="2" xfId="0" applyNumberFormat="1" applyFont="1" applyBorder="1"/>
    <xf numFmtId="14" fontId="0" fillId="0" borderId="0" xfId="0" applyNumberFormat="1"/>
    <xf numFmtId="14" fontId="3" fillId="0" borderId="7" xfId="0" applyNumberFormat="1" applyFont="1" applyBorder="1"/>
    <xf numFmtId="14" fontId="3" fillId="0" borderId="0" xfId="0" applyNumberFormat="1" applyFont="1"/>
    <xf numFmtId="14" fontId="2" fillId="2" borderId="4" xfId="0" applyNumberFormat="1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164" fontId="0" fillId="0" borderId="3" xfId="0" applyNumberFormat="1" applyBorder="1"/>
    <xf numFmtId="0" fontId="0" fillId="0" borderId="11" xfId="0" applyBorder="1"/>
    <xf numFmtId="42" fontId="8" fillId="0" borderId="11" xfId="1" applyFont="1" applyBorder="1"/>
    <xf numFmtId="42" fontId="10" fillId="0" borderId="11" xfId="1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6" fillId="0" borderId="14" xfId="0" applyFont="1" applyBorder="1"/>
    <xf numFmtId="0" fontId="0" fillId="0" borderId="20" xfId="0" applyBorder="1"/>
    <xf numFmtId="42" fontId="6" fillId="0" borderId="21" xfId="1" applyFont="1" applyBorder="1"/>
    <xf numFmtId="42" fontId="0" fillId="0" borderId="16" xfId="0" applyNumberFormat="1" applyBorder="1"/>
    <xf numFmtId="0" fontId="9" fillId="0" borderId="20" xfId="0" applyFont="1" applyBorder="1"/>
    <xf numFmtId="42" fontId="11" fillId="0" borderId="21" xfId="1" applyFont="1" applyBorder="1"/>
    <xf numFmtId="0" fontId="0" fillId="0" borderId="22" xfId="0" applyBorder="1"/>
    <xf numFmtId="42" fontId="8" fillId="0" borderId="14" xfId="1" applyFont="1" applyBorder="1"/>
    <xf numFmtId="42" fontId="6" fillId="0" borderId="23" xfId="1" applyFont="1" applyBorder="1"/>
    <xf numFmtId="0" fontId="9" fillId="0" borderId="22" xfId="0" applyFont="1" applyBorder="1"/>
    <xf numFmtId="42" fontId="10" fillId="0" borderId="14" xfId="1" applyFont="1" applyBorder="1"/>
    <xf numFmtId="42" fontId="11" fillId="0" borderId="23" xfId="1" applyFont="1" applyBorder="1"/>
    <xf numFmtId="0" fontId="0" fillId="0" borderId="24" xfId="0" applyBorder="1"/>
    <xf numFmtId="42" fontId="8" fillId="0" borderId="15" xfId="1" applyFont="1" applyBorder="1"/>
    <xf numFmtId="42" fontId="6" fillId="0" borderId="25" xfId="1" applyFont="1" applyBorder="1"/>
    <xf numFmtId="0" fontId="9" fillId="0" borderId="24" xfId="0" applyFont="1" applyBorder="1"/>
    <xf numFmtId="42" fontId="10" fillId="0" borderId="15" xfId="1" applyFont="1" applyBorder="1"/>
    <xf numFmtId="42" fontId="11" fillId="0" borderId="25" xfId="1" applyFont="1" applyBorder="1"/>
    <xf numFmtId="42" fontId="8" fillId="4" borderId="18" xfId="0" applyNumberFormat="1" applyFont="1" applyFill="1" applyBorder="1"/>
    <xf numFmtId="42" fontId="6" fillId="4" borderId="19" xfId="0" applyNumberFormat="1" applyFont="1" applyFill="1" applyBorder="1"/>
    <xf numFmtId="42" fontId="10" fillId="4" borderId="18" xfId="0" applyNumberFormat="1" applyFont="1" applyFill="1" applyBorder="1"/>
    <xf numFmtId="42" fontId="11" fillId="4" borderId="19" xfId="0" applyNumberFormat="1" applyFont="1" applyFill="1" applyBorder="1"/>
    <xf numFmtId="164" fontId="0" fillId="0" borderId="11" xfId="0" applyNumberFormat="1" applyBorder="1"/>
    <xf numFmtId="14" fontId="7" fillId="0" borderId="0" xfId="0" applyNumberFormat="1" applyFont="1"/>
    <xf numFmtId="42" fontId="3" fillId="0" borderId="3" xfId="1" applyFont="1" applyBorder="1" applyAlignment="1"/>
    <xf numFmtId="42" fontId="0" fillId="0" borderId="0" xfId="1" applyFont="1" applyAlignment="1"/>
    <xf numFmtId="42" fontId="3" fillId="0" borderId="9" xfId="1" applyFont="1" applyBorder="1" applyAlignment="1"/>
    <xf numFmtId="0" fontId="6" fillId="6" borderId="17" xfId="0" applyFont="1" applyFill="1" applyBorder="1"/>
    <xf numFmtId="0" fontId="6" fillId="6" borderId="18" xfId="0" applyFont="1" applyFill="1" applyBorder="1"/>
    <xf numFmtId="0" fontId="6" fillId="6" borderId="19" xfId="0" applyFont="1" applyFill="1" applyBorder="1"/>
    <xf numFmtId="0" fontId="6" fillId="7" borderId="17" xfId="0" applyFont="1" applyFill="1" applyBorder="1"/>
    <xf numFmtId="0" fontId="6" fillId="7" borderId="18" xfId="0" applyFont="1" applyFill="1" applyBorder="1"/>
    <xf numFmtId="0" fontId="6" fillId="7" borderId="19" xfId="0" applyFont="1" applyFill="1" applyBorder="1"/>
    <xf numFmtId="0" fontId="13" fillId="7" borderId="17" xfId="0" applyFont="1" applyFill="1" applyBorder="1"/>
    <xf numFmtId="0" fontId="13" fillId="7" borderId="18" xfId="0" applyFont="1" applyFill="1" applyBorder="1"/>
    <xf numFmtId="0" fontId="13" fillId="7" borderId="19" xfId="0" applyFont="1" applyFill="1" applyBorder="1"/>
    <xf numFmtId="42" fontId="6" fillId="4" borderId="17" xfId="0" applyNumberFormat="1" applyFont="1" applyFill="1" applyBorder="1"/>
    <xf numFmtId="0" fontId="6" fillId="4" borderId="17" xfId="0" applyFont="1" applyFill="1" applyBorder="1"/>
    <xf numFmtId="42" fontId="11" fillId="4" borderId="17" xfId="0" applyNumberFormat="1" applyFont="1" applyFill="1" applyBorder="1"/>
    <xf numFmtId="0" fontId="0" fillId="0" borderId="10" xfId="0" applyBorder="1"/>
    <xf numFmtId="42" fontId="0" fillId="0" borderId="10" xfId="1" applyFont="1" applyBorder="1"/>
    <xf numFmtId="0" fontId="14" fillId="5" borderId="10" xfId="0" applyFont="1" applyFill="1" applyBorder="1"/>
    <xf numFmtId="0" fontId="14" fillId="5" borderId="26" xfId="0" applyFont="1" applyFill="1" applyBorder="1"/>
    <xf numFmtId="0" fontId="14" fillId="5" borderId="27" xfId="0" applyFont="1" applyFill="1" applyBorder="1"/>
    <xf numFmtId="42" fontId="6" fillId="0" borderId="10" xfId="1" applyFont="1" applyBorder="1"/>
    <xf numFmtId="9" fontId="0" fillId="0" borderId="0" xfId="0" applyNumberFormat="1"/>
    <xf numFmtId="10" fontId="0" fillId="0" borderId="10" xfId="2" applyNumberFormat="1" applyFont="1" applyBorder="1"/>
    <xf numFmtId="0" fontId="6" fillId="0" borderId="0" xfId="0" applyFont="1"/>
    <xf numFmtId="0" fontId="6" fillId="0" borderId="28" xfId="0" applyFont="1" applyBorder="1"/>
    <xf numFmtId="42" fontId="0" fillId="0" borderId="28" xfId="0" applyNumberFormat="1" applyBorder="1"/>
    <xf numFmtId="42" fontId="6" fillId="0" borderId="28" xfId="0" applyNumberFormat="1" applyFont="1" applyBorder="1"/>
    <xf numFmtId="10" fontId="0" fillId="0" borderId="28" xfId="0" applyNumberFormat="1" applyBorder="1"/>
    <xf numFmtId="42" fontId="6" fillId="0" borderId="10" xfId="0" applyNumberFormat="1" applyFont="1" applyBorder="1"/>
    <xf numFmtId="164" fontId="0" fillId="0" borderId="0" xfId="0" applyNumberFormat="1"/>
    <xf numFmtId="10" fontId="3" fillId="0" borderId="0" xfId="0" applyNumberFormat="1" applyFont="1"/>
    <xf numFmtId="9" fontId="3" fillId="0" borderId="0" xfId="0" applyNumberFormat="1" applyFont="1"/>
    <xf numFmtId="165" fontId="2" fillId="0" borderId="0" xfId="0" applyNumberFormat="1" applyFont="1"/>
    <xf numFmtId="42" fontId="0" fillId="0" borderId="11" xfId="0" applyNumberFormat="1" applyBorder="1"/>
    <xf numFmtId="0" fontId="0" fillId="0" borderId="29" xfId="0" applyBorder="1"/>
    <xf numFmtId="164" fontId="0" fillId="0" borderId="29" xfId="0" applyNumberFormat="1" applyBorder="1"/>
    <xf numFmtId="0" fontId="0" fillId="0" borderId="30" xfId="0" applyBorder="1"/>
    <xf numFmtId="164" fontId="3" fillId="0" borderId="29" xfId="0" applyNumberFormat="1" applyFont="1" applyBorder="1"/>
    <xf numFmtId="0" fontId="0" fillId="0" borderId="31" xfId="0" applyBorder="1"/>
    <xf numFmtId="0" fontId="5" fillId="0" borderId="14" xfId="0" applyFont="1" applyBorder="1"/>
    <xf numFmtId="0" fontId="7" fillId="0" borderId="18" xfId="0" applyFont="1" applyBorder="1"/>
    <xf numFmtId="0" fontId="0" fillId="0" borderId="18" xfId="0" applyBorder="1"/>
    <xf numFmtId="0" fontId="15" fillId="0" borderId="32" xfId="0" applyFont="1" applyBorder="1"/>
    <xf numFmtId="0" fontId="0" fillId="0" borderId="32" xfId="0" applyBorder="1"/>
    <xf numFmtId="0" fontId="6" fillId="0" borderId="18" xfId="0" applyFont="1" applyBorder="1"/>
    <xf numFmtId="164" fontId="6" fillId="0" borderId="18" xfId="0" applyNumberFormat="1" applyFont="1" applyBorder="1"/>
    <xf numFmtId="0" fontId="5" fillId="0" borderId="14" xfId="0" applyFont="1" applyBorder="1" applyAlignment="1">
      <alignment horizontal="left"/>
    </xf>
    <xf numFmtId="0" fontId="7" fillId="0" borderId="18" xfId="0" applyFont="1" applyBorder="1" applyAlignment="1">
      <alignment horizontal="left"/>
    </xf>
    <xf numFmtId="0" fontId="14" fillId="5" borderId="10" xfId="0" applyFont="1" applyFill="1" applyBorder="1" applyAlignment="1">
      <alignment horizontal="center"/>
    </xf>
    <xf numFmtId="164" fontId="0" fillId="0" borderId="10" xfId="1" applyNumberFormat="1" applyFont="1" applyBorder="1" applyAlignment="1">
      <alignment horizontal="center"/>
    </xf>
    <xf numFmtId="164" fontId="0" fillId="0" borderId="17" xfId="1" applyNumberFormat="1" applyFont="1" applyBorder="1" applyAlignment="1">
      <alignment horizontal="center"/>
    </xf>
    <xf numFmtId="164" fontId="0" fillId="0" borderId="18" xfId="1" applyNumberFormat="1" applyFont="1" applyBorder="1" applyAlignment="1">
      <alignment horizontal="center"/>
    </xf>
    <xf numFmtId="164" fontId="0" fillId="0" borderId="19" xfId="1" applyNumberFormat="1" applyFont="1" applyBorder="1" applyAlignment="1">
      <alignment horizontal="center"/>
    </xf>
    <xf numFmtId="0" fontId="14" fillId="5" borderId="17" xfId="0" applyFont="1" applyFill="1" applyBorder="1" applyAlignment="1">
      <alignment horizontal="center"/>
    </xf>
    <xf numFmtId="0" fontId="14" fillId="5" borderId="18" xfId="0" applyFont="1" applyFill="1" applyBorder="1" applyAlignment="1">
      <alignment horizontal="center"/>
    </xf>
    <xf numFmtId="0" fontId="14" fillId="5" borderId="19" xfId="0" applyFont="1" applyFill="1" applyBorder="1" applyAlignment="1">
      <alignment horizontal="center"/>
    </xf>
  </cellXfs>
  <cellStyles count="3">
    <cellStyle name="Moneda [0]" xfId="1" builtinId="7"/>
    <cellStyle name="Normal" xfId="0" builtinId="0"/>
    <cellStyle name="Porcentaje" xfId="2" builtinId="5"/>
  </cellStyles>
  <dxfs count="36"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ont>
        <color rgb="FF006600"/>
      </font>
    </dxf>
    <dxf>
      <font>
        <color rgb="FFC00000"/>
      </font>
    </dxf>
    <dxf>
      <font>
        <color rgb="FF006600"/>
      </font>
    </dxf>
    <dxf>
      <font>
        <color rgb="FFC00000"/>
      </font>
    </dxf>
    <dxf>
      <font>
        <color rgb="FF006600"/>
      </font>
    </dxf>
    <dxf>
      <font>
        <color rgb="FFC00000"/>
      </font>
    </dxf>
    <dxf>
      <font>
        <color rgb="FF006600"/>
      </font>
    </dxf>
    <dxf>
      <font>
        <color rgb="FFC00000"/>
      </font>
    </dxf>
    <dxf>
      <font>
        <color rgb="FF006600"/>
      </font>
    </dxf>
    <dxf>
      <font>
        <color rgb="FFC00000"/>
      </font>
    </dxf>
    <dxf>
      <font>
        <color rgb="FF006600"/>
      </font>
    </dxf>
    <dxf>
      <font>
        <color rgb="FFC00000"/>
      </font>
    </dxf>
    <dxf>
      <font>
        <color rgb="FFC00000"/>
      </font>
    </dxf>
    <dxf>
      <font>
        <color rgb="FF006600"/>
      </font>
    </dxf>
    <dxf>
      <font>
        <color rgb="FFC00000"/>
      </font>
    </dxf>
    <dxf>
      <font>
        <color rgb="FF006600"/>
      </font>
    </dxf>
    <dxf>
      <font>
        <color rgb="FFC00000"/>
      </font>
    </dxf>
    <dxf>
      <font>
        <color rgb="FF006600"/>
      </font>
    </dxf>
    <dxf>
      <font>
        <strike val="0"/>
        <outline val="0"/>
        <shadow val="0"/>
        <u val="none"/>
        <vertAlign val="baseline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&quot;$&quot;#,##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general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EFEFEF"/>
          <bgColor rgb="FFEFEFEF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colors>
    <mruColors>
      <color rgb="FF006600"/>
      <color rgb="FF4472C4"/>
      <color rgb="FF339933"/>
      <color rgb="FF9CCA7C"/>
      <color rgb="FF70AD47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082467294101679E-2"/>
          <c:y val="1.4691052064707054E-2"/>
          <c:w val="0.90457103681013762"/>
          <c:h val="0.979996862941933"/>
        </c:manualLayout>
      </c:layout>
      <c:doughnutChart>
        <c:varyColors val="1"/>
        <c:ser>
          <c:idx val="0"/>
          <c:order val="0"/>
          <c:tx>
            <c:strRef>
              <c:f>RESUMEN!$F$11</c:f>
              <c:strCache>
                <c:ptCount val="1"/>
                <c:pt idx="0">
                  <c:v>Resumen Egresos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D2D-440C-8306-DFD7892930C4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D2D-440C-8306-DFD7892930C4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D2D-440C-8306-DFD7892930C4}"/>
              </c:ext>
            </c:extLst>
          </c:dPt>
          <c:dLbls>
            <c:dLbl>
              <c:idx val="0"/>
              <c:layout>
                <c:manualLayout>
                  <c:x val="-1.0853425345312083E-2"/>
                  <c:y val="5.8866772904968634E-3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ln w="3175">
                          <a:noFill/>
                        </a:ln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EF8A7A8-7EAA-461A-A63F-26C31C46196C}" type="CATEGORYNAME">
                      <a:rPr lang="en-US" sz="1100" b="1">
                        <a:ln w="3175">
                          <a:noFill/>
                        </a:ln>
                      </a:rPr>
                      <a:pPr>
                        <a:defRPr>
                          <a:ln w="3175">
                            <a:noFill/>
                          </a:ln>
                          <a:solidFill>
                            <a:schemeClr val="bg1"/>
                          </a:solidFill>
                        </a:defRPr>
                      </a:pPr>
                      <a:t>[NOMBRE DE CATEGORÍA]</a:t>
                    </a:fld>
                    <a:r>
                      <a:rPr lang="en-US" sz="1100" b="1" baseline="0">
                        <a:ln w="3175">
                          <a:noFill/>
                        </a:ln>
                      </a:rPr>
                      <a:t>
</a:t>
                    </a:r>
                    <a:fld id="{39C96849-EE2C-4D50-BA18-00DC56131898}" type="PERCENTAGE">
                      <a:rPr lang="en-US" sz="1100" b="1" baseline="0">
                        <a:ln w="3175">
                          <a:noFill/>
                        </a:ln>
                      </a:rPr>
                      <a:pPr>
                        <a:defRPr>
                          <a:ln w="3175">
                            <a:noFill/>
                          </a:ln>
                          <a:solidFill>
                            <a:schemeClr val="bg1"/>
                          </a:solidFill>
                        </a:defRPr>
                      </a:pPr>
                      <a:t>[PORCENTAJE]</a:t>
                    </a:fld>
                    <a:endParaRPr lang="en-US" sz="1100" b="1" baseline="0">
                      <a:ln w="3175">
                        <a:noFill/>
                      </a:ln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ln w="3175"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42044759697044154"/>
                      <c:h val="0.2894270640683707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0D2D-440C-8306-DFD7892930C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9BBE32D-7FF6-43BB-AA1A-C26AAF9FAF4C}" type="CATEGORYNAME">
                      <a:rPr lang="en-US" sz="1100" b="1"/>
                      <a:pPr/>
                      <a:t>[NOMBRE DE CATEGORÍA]</a:t>
                    </a:fld>
                    <a:r>
                      <a:rPr lang="en-US" sz="1100" b="1" baseline="0"/>
                      <a:t>
</a:t>
                    </a:r>
                    <a:fld id="{C0D37F41-8DAE-4F66-BEB4-9449C0208C79}" type="PERCENTAGE">
                      <a:rPr lang="en-US" sz="1100" b="1" baseline="0"/>
                      <a:pPr/>
                      <a:t>[PORCENTAJE]</a:t>
                    </a:fld>
                    <a:endParaRPr lang="en-US" sz="1100" b="1" baseline="0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605035732980097"/>
                      <c:h val="0.25732288749400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0D2D-440C-8306-DFD7892930C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DB95358-7E78-4900-8F45-CDD150D803D2}" type="CATEGORYNAME">
                      <a:rPr lang="en-US" sz="1100" b="1"/>
                      <a:pPr/>
                      <a:t>[NOMBRE DE CATEGORÍA]</a:t>
                    </a:fld>
                    <a:r>
                      <a:rPr lang="en-US" sz="1100" b="1" baseline="0"/>
                      <a:t>
</a:t>
                    </a:r>
                    <a:fld id="{E1AC862A-FB13-4895-A484-90A4A5169BF1}" type="PERCENTAGE">
                      <a:rPr lang="en-US" sz="1100" b="1" baseline="0"/>
                      <a:pPr/>
                      <a:t>[PORCENTAJE]</a:t>
                    </a:fld>
                    <a:endParaRPr lang="en-US" sz="1100" b="1" baseline="0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6715770582517"/>
                      <c:h val="0.25732288749400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0D2D-440C-8306-DFD7892930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 w="3175"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RESUMEN!$F$13:$F$15</c:f>
              <c:strCache>
                <c:ptCount val="3"/>
                <c:pt idx="0">
                  <c:v>Gastos del mes</c:v>
                </c:pt>
                <c:pt idx="1">
                  <c:v>Deseos</c:v>
                </c:pt>
                <c:pt idx="2">
                  <c:v>Ahorro</c:v>
                </c:pt>
              </c:strCache>
            </c:strRef>
          </c:cat>
          <c:val>
            <c:numRef>
              <c:f>RESUMEN!$H$13:$H$15</c:f>
              <c:numCache>
                <c:formatCode>_("$"* #,##0_);_("$"* \(#,##0\);_("$"* "-"_);_(@_)</c:formatCode>
                <c:ptCount val="3"/>
                <c:pt idx="0">
                  <c:v>932023</c:v>
                </c:pt>
                <c:pt idx="1">
                  <c:v>691924</c:v>
                </c:pt>
                <c:pt idx="2">
                  <c:v>6814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2D-440C-8306-DFD789293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20</xdr:row>
      <xdr:rowOff>57150</xdr:rowOff>
    </xdr:from>
    <xdr:to>
      <xdr:col>8</xdr:col>
      <xdr:colOff>70709</xdr:colOff>
      <xdr:row>36</xdr:row>
      <xdr:rowOff>123825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841505</xdr:colOff>
      <xdr:row>25</xdr:row>
      <xdr:rowOff>105571</xdr:rowOff>
    </xdr:from>
    <xdr:to>
      <xdr:col>6</xdr:col>
      <xdr:colOff>659076</xdr:colOff>
      <xdr:row>28</xdr:row>
      <xdr:rowOff>85727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41918" y="3786984"/>
          <a:ext cx="727208" cy="4802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000"/>
            <a:t>Resumen Egresos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gistros" displayName="Registros" ref="B3:K120" totalsRowShown="0" headerRowDxfId="35" dataDxfId="33" headerRowBorderDxfId="34" tableBorderDxfId="32" totalsRowBorderDxfId="31">
  <autoFilter ref="B3:K120" xr:uid="{00000000-0009-0000-0100-000001000000}"/>
  <tableColumns count="10">
    <tableColumn id="1" xr3:uid="{00000000-0010-0000-0000-000001000000}" name="Fecha" dataDxfId="30"/>
    <tableColumn id="2" xr3:uid="{00000000-0010-0000-0000-000002000000}" name="Descripción" dataDxfId="29"/>
    <tableColumn id="3" xr3:uid="{00000000-0010-0000-0000-000003000000}" name="Categoría" dataDxfId="28"/>
    <tableColumn id="4" xr3:uid="{00000000-0010-0000-0000-000004000000}" name="Subcategoría" dataDxfId="27"/>
    <tableColumn id="7" xr3:uid="{00000000-0010-0000-0000-000007000000}" name="Ingreso" dataDxfId="26" dataCellStyle="Moneda [0]"/>
    <tableColumn id="5" xr3:uid="{00000000-0010-0000-0000-000005000000}" name="Egreso" dataDxfId="25"/>
    <tableColumn id="8" xr3:uid="{00000000-0010-0000-0000-000008000000}" name="Mes" dataDxfId="24">
      <calculatedColumnFormula>MONTH(Registros[[#This Row],[Fecha]])</calculatedColumnFormula>
    </tableColumn>
    <tableColumn id="9" xr3:uid="{00000000-0010-0000-0000-000009000000}" name="Año" dataDxfId="23">
      <calculatedColumnFormula>YEAR(Registros[[#This Row],[Fecha]])</calculatedColumnFormula>
    </tableColumn>
    <tableColumn id="6" xr3:uid="{00000000-0010-0000-0000-000006000000}" name="Busca palabra sueldo" dataDxfId="22">
      <calculatedColumnFormula>OR(ISNUMBER(FIND("Sueldo",Registros[[#This Row],[Descripción]])),ISNUMBER(FIND("sueldo",Registros[[#This Row],[Descripción]])))</calculatedColumnFormula>
    </tableColumn>
    <tableColumn id="10" xr3:uid="{00000000-0010-0000-0000-00000A000000}" name="Busca palabra Javi" dataDxfId="21">
      <calculatedColumnFormula>OR(ISNUMBER(FIND("Javi",Registros[[#This Row],[Descripción]])),ISNUMBER(FIND("javi",Registros[[#This Row],[Descripción]])))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7"/>
  <sheetViews>
    <sheetView tabSelected="1" zoomScaleNormal="100" workbookViewId="0">
      <selection activeCell="U27" sqref="U27"/>
    </sheetView>
  </sheetViews>
  <sheetFormatPr baseColWidth="10" defaultColWidth="10.85546875" defaultRowHeight="12.75" x14ac:dyDescent="0.2"/>
  <cols>
    <col min="1" max="1" width="5.5703125" style="18" customWidth="1"/>
    <col min="2" max="2" width="13.5703125" style="18" customWidth="1"/>
    <col min="3" max="3" width="13.7109375" style="18" bestFit="1" customWidth="1"/>
    <col min="4" max="4" width="10.85546875" style="18"/>
    <col min="5" max="5" width="5.5703125" style="18" customWidth="1"/>
    <col min="6" max="6" width="13.5703125" style="18" customWidth="1"/>
    <col min="7" max="8" width="10.85546875" style="18"/>
    <col min="9" max="9" width="5.5703125" style="18" customWidth="1"/>
    <col min="10" max="10" width="12.85546875" style="18" customWidth="1"/>
    <col min="11" max="12" width="10.85546875" style="18"/>
    <col min="13" max="13" width="5.5703125" style="18" customWidth="1"/>
    <col min="14" max="14" width="12.85546875" style="18" customWidth="1"/>
    <col min="15" max="16" width="10.85546875" style="18"/>
    <col min="17" max="17" width="5.5703125" style="18" customWidth="1"/>
    <col min="18" max="16384" width="10.85546875" style="18"/>
  </cols>
  <sheetData>
    <row r="1" spans="1:52" x14ac:dyDescent="0.2">
      <c r="B1" s="23"/>
      <c r="C1" s="23"/>
      <c r="D1" s="23"/>
    </row>
    <row r="2" spans="1:52" ht="19.5" thickBot="1" x14ac:dyDescent="0.35">
      <c r="B2" s="92" t="s">
        <v>151</v>
      </c>
      <c r="C2" s="93"/>
      <c r="D2" s="93"/>
    </row>
    <row r="3" spans="1:52" x14ac:dyDescent="0.2">
      <c r="B3" s="24"/>
      <c r="C3" s="24"/>
      <c r="D3" s="24"/>
    </row>
    <row r="4" spans="1:52" x14ac:dyDescent="0.2">
      <c r="B4" s="89" t="s">
        <v>49</v>
      </c>
      <c r="C4" s="96" t="s">
        <v>50</v>
      </c>
      <c r="D4" s="23"/>
      <c r="G4" s="23"/>
      <c r="H4" s="23"/>
    </row>
    <row r="5" spans="1:52" ht="15" x14ac:dyDescent="0.25">
      <c r="B5" s="90" t="s">
        <v>36</v>
      </c>
      <c r="C5" s="97">
        <v>2026</v>
      </c>
      <c r="D5" s="91"/>
      <c r="G5" s="94" t="s">
        <v>10</v>
      </c>
      <c r="H5" s="95">
        <f>B8-F8</f>
        <v>565772</v>
      </c>
      <c r="AZ5" s="18" t="s">
        <v>45</v>
      </c>
    </row>
    <row r="6" spans="1:52" x14ac:dyDescent="0.2">
      <c r="B6" s="88"/>
      <c r="C6" s="88"/>
      <c r="D6" s="88"/>
      <c r="F6" s="23"/>
      <c r="G6" s="88"/>
      <c r="H6" s="88"/>
      <c r="L6" s="48"/>
      <c r="AZ6" s="18" t="s">
        <v>34</v>
      </c>
    </row>
    <row r="7" spans="1:52" x14ac:dyDescent="0.2">
      <c r="A7" s="21"/>
      <c r="B7" s="98" t="s">
        <v>51</v>
      </c>
      <c r="C7" s="98"/>
      <c r="D7" s="98"/>
      <c r="E7" s="25"/>
      <c r="F7" s="103" t="s">
        <v>52</v>
      </c>
      <c r="G7" s="104"/>
      <c r="H7" s="105"/>
      <c r="I7" s="22"/>
      <c r="AZ7" s="18" t="s">
        <v>35</v>
      </c>
    </row>
    <row r="8" spans="1:52" x14ac:dyDescent="0.2">
      <c r="A8" s="21"/>
      <c r="B8" s="99">
        <f>D19</f>
        <v>2196533</v>
      </c>
      <c r="C8" s="99"/>
      <c r="D8" s="99"/>
      <c r="E8" s="25"/>
      <c r="F8" s="100">
        <f>H19</f>
        <v>1630761</v>
      </c>
      <c r="G8" s="101"/>
      <c r="H8" s="102"/>
      <c r="I8" s="22"/>
      <c r="AZ8" s="18" t="s">
        <v>36</v>
      </c>
    </row>
    <row r="9" spans="1:52" x14ac:dyDescent="0.2">
      <c r="B9" s="24"/>
      <c r="C9" s="24"/>
      <c r="D9" s="24"/>
      <c r="F9" s="24"/>
      <c r="G9" s="24"/>
      <c r="H9" s="24"/>
      <c r="AZ9" s="18" t="s">
        <v>37</v>
      </c>
    </row>
    <row r="10" spans="1:52" x14ac:dyDescent="0.2">
      <c r="AZ10" s="18" t="s">
        <v>39</v>
      </c>
    </row>
    <row r="11" spans="1:52" x14ac:dyDescent="0.2">
      <c r="B11" s="26" t="s">
        <v>53</v>
      </c>
      <c r="C11" s="23"/>
      <c r="D11" s="23"/>
      <c r="F11" s="26" t="s">
        <v>54</v>
      </c>
      <c r="G11" s="23"/>
      <c r="H11" s="23"/>
      <c r="J11" s="26" t="s">
        <v>7</v>
      </c>
      <c r="K11" s="23"/>
      <c r="L11" s="23"/>
      <c r="N11" s="26" t="s">
        <v>8</v>
      </c>
      <c r="O11" s="23"/>
      <c r="P11" s="23"/>
      <c r="R11" s="26" t="s">
        <v>13</v>
      </c>
      <c r="S11" s="23"/>
      <c r="T11" s="23"/>
      <c r="V11" s="23"/>
      <c r="AZ11" s="18" t="s">
        <v>40</v>
      </c>
    </row>
    <row r="12" spans="1:52" x14ac:dyDescent="0.2">
      <c r="A12" s="21"/>
      <c r="B12" s="53" t="s">
        <v>55</v>
      </c>
      <c r="C12" s="54" t="s">
        <v>56</v>
      </c>
      <c r="D12" s="55" t="s">
        <v>57</v>
      </c>
      <c r="E12" s="25"/>
      <c r="F12" s="53" t="s">
        <v>55</v>
      </c>
      <c r="G12" s="54" t="s">
        <v>56</v>
      </c>
      <c r="H12" s="55" t="s">
        <v>57</v>
      </c>
      <c r="I12" s="25"/>
      <c r="J12" s="59" t="s">
        <v>55</v>
      </c>
      <c r="K12" s="60" t="s">
        <v>56</v>
      </c>
      <c r="L12" s="61" t="s">
        <v>57</v>
      </c>
      <c r="M12" s="25"/>
      <c r="N12" s="56" t="s">
        <v>55</v>
      </c>
      <c r="O12" s="57" t="s">
        <v>56</v>
      </c>
      <c r="P12" s="58" t="s">
        <v>57</v>
      </c>
      <c r="Q12" s="25"/>
      <c r="R12" s="56" t="s">
        <v>55</v>
      </c>
      <c r="S12" s="57" t="s">
        <v>56</v>
      </c>
      <c r="T12" s="58" t="s">
        <v>57</v>
      </c>
      <c r="U12" s="25"/>
      <c r="V12" s="2"/>
      <c r="W12" s="22"/>
      <c r="AZ12" s="18" t="s">
        <v>41</v>
      </c>
    </row>
    <row r="13" spans="1:52" x14ac:dyDescent="0.2">
      <c r="A13" s="21"/>
      <c r="B13" s="38" t="s">
        <v>6</v>
      </c>
      <c r="C13" s="39">
        <v>1800000</v>
      </c>
      <c r="D13" s="40">
        <f>SUMIFS(Registros[Ingreso],Registros[Mes],MONTH("1"&amp;RESUMEN!$B$5),Registros[Año],C5,Registros[Busca palabra sueldo],TRUE)</f>
        <v>1795336</v>
      </c>
      <c r="E13" s="25"/>
      <c r="F13" s="38" t="s">
        <v>7</v>
      </c>
      <c r="G13" s="39">
        <f>890000+K13+K16</f>
        <v>1180000</v>
      </c>
      <c r="H13" s="40">
        <f>SUMIFS(Registros[Egreso],Registros[Mes],MONTH("1"&amp;RESUMEN!$B$5),Registros[Año],$C$5,Registros[Categoría],F13)</f>
        <v>932023</v>
      </c>
      <c r="I13" s="25"/>
      <c r="J13" s="41" t="s">
        <v>59</v>
      </c>
      <c r="K13" s="42">
        <v>250000</v>
      </c>
      <c r="L13" s="43">
        <f>SUMIFS(Registros[Egreso],Registros[Mes],MONTH("1"&amp;RESUMEN!$B$5),Registros[Año],$C$5,Registros[Categoría],$J$11,Registros[Subcategoría],J13)</f>
        <v>31257</v>
      </c>
      <c r="M13" s="25"/>
      <c r="N13" s="41" t="s">
        <v>59</v>
      </c>
      <c r="O13" s="42">
        <v>0</v>
      </c>
      <c r="P13" s="43">
        <f>SUMIFS(Registros[Egreso],Registros[Mes],MONTH("1"&amp;RESUMEN!$B$5),Registros[Año],$C$5,Registros[Categoría],$N$11,Registros[Subcategoría],N13)</f>
        <v>1790</v>
      </c>
      <c r="Q13" s="25"/>
      <c r="R13" s="41" t="s">
        <v>23</v>
      </c>
      <c r="S13" s="42">
        <f>C19-K31-O31</f>
        <v>515000</v>
      </c>
      <c r="T13" s="43">
        <f>SUMIFS(Registros[Egreso],Registros[Mes],MONTH("1"&amp;RESUMEN!$B$5),Registros[Año],$C$5,Registros[Categoría],$R$11,Registros[Subcategoría],R13)</f>
        <v>6814</v>
      </c>
      <c r="U13" s="25"/>
      <c r="V13" s="2"/>
      <c r="W13" s="22"/>
      <c r="AZ13" s="18" t="s">
        <v>42</v>
      </c>
    </row>
    <row r="14" spans="1:52" x14ac:dyDescent="0.2">
      <c r="A14" s="21"/>
      <c r="B14" s="27" t="s">
        <v>149</v>
      </c>
      <c r="C14" s="19">
        <v>360000</v>
      </c>
      <c r="D14" s="28">
        <f>SUMIFS(Registros[Ingreso],Registros[Mes],MONTH("1"&amp;RESUMEN!$B$5),Registros[Año],C5,Registros[Busca palabra Javi],TRUE)</f>
        <v>360000</v>
      </c>
      <c r="E14" s="25"/>
      <c r="F14" s="27" t="s">
        <v>8</v>
      </c>
      <c r="G14" s="19">
        <f>O31</f>
        <v>465000</v>
      </c>
      <c r="H14" s="40">
        <f>SUMIFS(Registros[Egreso],Registros[Mes],MONTH("1"&amp;RESUMEN!$B$5),Registros[Año],$C$5,Registros[Categoría],F14)</f>
        <v>691924</v>
      </c>
      <c r="I14" s="25"/>
      <c r="J14" s="30" t="s">
        <v>11</v>
      </c>
      <c r="K14" s="20">
        <f>70000+120000</f>
        <v>190000</v>
      </c>
      <c r="L14" s="43">
        <f>SUMIFS(Registros[Egreso],Registros[Mes],MONTH("1"&amp;RESUMEN!$B$5),Registros[Año],$C$5,Registros[Categoría],$J$11,Registros[Subcategoría],J14)</f>
        <v>150133</v>
      </c>
      <c r="M14" s="25"/>
      <c r="N14" s="30" t="s">
        <v>11</v>
      </c>
      <c r="O14" s="20">
        <v>0</v>
      </c>
      <c r="P14" s="43">
        <f>SUMIFS(Registros[Egreso],Registros[Mes],MONTH("1"&amp;RESUMEN!$B$5),Registros[Año],$C$5,Registros[Categoría],$N$11,Registros[Subcategoría],N14)</f>
        <v>6000</v>
      </c>
      <c r="Q14" s="25"/>
      <c r="R14" s="30"/>
      <c r="S14" s="20">
        <v>0</v>
      </c>
      <c r="T14" s="31"/>
      <c r="U14" s="25"/>
      <c r="V14" s="2"/>
      <c r="W14" s="22"/>
      <c r="AZ14" s="18" t="s">
        <v>46</v>
      </c>
    </row>
    <row r="15" spans="1:52" x14ac:dyDescent="0.2">
      <c r="A15" s="21"/>
      <c r="B15" s="27" t="s">
        <v>150</v>
      </c>
      <c r="C15" s="19">
        <v>0</v>
      </c>
      <c r="D15" s="28">
        <f>SUMIFS(Registros[Ingreso],Registros[Mes],MONTH("1"&amp;RESUMEN!$B$5),Registros[Año],C5,Registros[Busca palabra sueldo],FALSE,Registros[Busca palabra Javi],FALSE)</f>
        <v>41197</v>
      </c>
      <c r="E15" s="25"/>
      <c r="F15" s="27" t="s">
        <v>13</v>
      </c>
      <c r="G15" s="19">
        <f>S19</f>
        <v>515000</v>
      </c>
      <c r="H15" s="40">
        <f>SUMIFS(Registros[Egreso],Registros[Mes],MONTH("1"&amp;RESUMEN!$B$5),Registros[Año],$C$5,Registros[Categoría],F15)</f>
        <v>6814</v>
      </c>
      <c r="I15" s="25"/>
      <c r="J15" s="30" t="s">
        <v>14</v>
      </c>
      <c r="K15" s="20">
        <v>700000</v>
      </c>
      <c r="L15" s="43">
        <f>SUMIFS(Registros[Egreso],Registros[Mes],MONTH("1"&amp;RESUMEN!$B$5),Registros[Año],$C$5,Registros[Categoría],$J$11,Registros[Subcategoría],J15)</f>
        <v>700000</v>
      </c>
      <c r="M15" s="25"/>
      <c r="N15" s="30" t="s">
        <v>14</v>
      </c>
      <c r="O15" s="20">
        <v>0</v>
      </c>
      <c r="P15" s="43">
        <f>SUMIFS(Registros[Egreso],Registros[Mes],MONTH("1"&amp;RESUMEN!$B$5),Registros[Año],$C$5,Registros[Categoría],$N$11,Registros[Subcategoría],N15)</f>
        <v>0</v>
      </c>
      <c r="Q15" s="25"/>
      <c r="R15" s="30"/>
      <c r="S15" s="20">
        <v>0</v>
      </c>
      <c r="T15" s="31"/>
      <c r="U15" s="25"/>
      <c r="V15" s="2"/>
      <c r="W15" s="22"/>
      <c r="AZ15" s="18" t="s">
        <v>47</v>
      </c>
    </row>
    <row r="16" spans="1:52" x14ac:dyDescent="0.2">
      <c r="A16" s="21"/>
      <c r="B16" s="27"/>
      <c r="C16" s="19">
        <v>0</v>
      </c>
      <c r="D16" s="28">
        <v>0</v>
      </c>
      <c r="E16" s="25"/>
      <c r="F16" s="27"/>
      <c r="G16" s="19">
        <v>0</v>
      </c>
      <c r="H16" s="40">
        <f>SUMIFS(Registros[Egreso],Registros[Mes],MONTH("1"&amp;RESUMEN!$B$5),Registros[Año],$C$5,Registros[Categoría],F16)</f>
        <v>0</v>
      </c>
      <c r="I16" s="25"/>
      <c r="J16" s="30" t="s">
        <v>12</v>
      </c>
      <c r="K16" s="20">
        <v>40000</v>
      </c>
      <c r="L16" s="43">
        <f>SUMIFS(Registros[Egreso],Registros[Mes],MONTH("1"&amp;RESUMEN!$B$5),Registros[Año],$C$5,Registros[Categoría],$J$11,Registros[Subcategoría],J16)</f>
        <v>10000</v>
      </c>
      <c r="M16" s="25"/>
      <c r="N16" s="30" t="s">
        <v>12</v>
      </c>
      <c r="O16" s="20">
        <v>0</v>
      </c>
      <c r="P16" s="43">
        <f>SUMIFS(Registros[Egreso],Registros[Mes],MONTH("1"&amp;RESUMEN!$B$5),Registros[Año],$C$5,Registros[Categoría],$N$11,Registros[Subcategoría],N16)</f>
        <v>0</v>
      </c>
      <c r="Q16" s="25"/>
      <c r="R16" s="30"/>
      <c r="S16" s="20">
        <v>0</v>
      </c>
      <c r="T16" s="31"/>
      <c r="U16" s="25"/>
      <c r="V16" s="2"/>
      <c r="W16" s="22"/>
      <c r="AZ16" s="18" t="s">
        <v>48</v>
      </c>
    </row>
    <row r="17" spans="1:23" x14ac:dyDescent="0.2">
      <c r="A17" s="21"/>
      <c r="B17" s="27"/>
      <c r="C17" s="19">
        <v>0</v>
      </c>
      <c r="D17" s="28">
        <v>0</v>
      </c>
      <c r="E17" s="25"/>
      <c r="F17" s="27"/>
      <c r="G17" s="19">
        <v>0</v>
      </c>
      <c r="H17" s="40">
        <f>SUMIFS(Registros[Egreso],Registros[Mes],MONTH("1"&amp;RESUMEN!$B$5),Registros[Año],$C$5,Registros[Categoría],F17)</f>
        <v>0</v>
      </c>
      <c r="I17" s="25"/>
      <c r="J17" s="30" t="s">
        <v>16</v>
      </c>
      <c r="K17" s="20">
        <v>0</v>
      </c>
      <c r="L17" s="43">
        <f>SUMIFS(Registros[Egreso],Registros[Mes],MONTH("1"&amp;RESUMEN!$B$5),Registros[Año],$C$5,Registros[Categoría],$J$11,Registros[Subcategoría],J17)</f>
        <v>0</v>
      </c>
      <c r="M17" s="25"/>
      <c r="N17" s="30" t="s">
        <v>16</v>
      </c>
      <c r="O17" s="20">
        <v>0</v>
      </c>
      <c r="P17" s="43">
        <f>SUMIFS(Registros[Egreso],Registros[Mes],MONTH("1"&amp;RESUMEN!$B$5),Registros[Año],$C$5,Registros[Categoría],$N$11,Registros[Subcategoría],N17)</f>
        <v>0</v>
      </c>
      <c r="Q17" s="25"/>
      <c r="R17" s="30"/>
      <c r="S17" s="20">
        <v>0</v>
      </c>
      <c r="T17" s="31"/>
      <c r="U17" s="25"/>
      <c r="V17" s="2"/>
      <c r="W17" s="22"/>
    </row>
    <row r="18" spans="1:23" x14ac:dyDescent="0.2">
      <c r="A18" s="21"/>
      <c r="B18" s="32"/>
      <c r="C18" s="33">
        <v>0</v>
      </c>
      <c r="D18" s="34">
        <v>0</v>
      </c>
      <c r="E18" s="25"/>
      <c r="F18" s="32"/>
      <c r="G18" s="33">
        <v>0</v>
      </c>
      <c r="H18" s="40">
        <f>SUMIFS(Registros[Egreso],Registros[Mes],MONTH("1"&amp;RESUMEN!$B$5),Registros[Año],$C$5,Registros[Categoría],F18)</f>
        <v>0</v>
      </c>
      <c r="I18" s="25"/>
      <c r="J18" s="30" t="s">
        <v>18</v>
      </c>
      <c r="K18" s="20">
        <v>0</v>
      </c>
      <c r="L18" s="43">
        <f>SUMIFS(Registros[Egreso],Registros[Mes],MONTH("1"&amp;RESUMEN!$B$5),Registros[Año],$C$5,Registros[Categoría],$J$11,Registros[Subcategoría],J18)</f>
        <v>0</v>
      </c>
      <c r="M18" s="25"/>
      <c r="N18" s="30" t="s">
        <v>18</v>
      </c>
      <c r="O18" s="20"/>
      <c r="P18" s="43">
        <f>SUMIFS(Registros[Egreso],Registros[Mes],MONTH("1"&amp;RESUMEN!$B$5),Registros[Año],$C$5,Registros[Categoría],$N$11,Registros[Subcategoría],N18)</f>
        <v>0</v>
      </c>
      <c r="Q18" s="25"/>
      <c r="R18" s="35"/>
      <c r="S18" s="36">
        <v>0</v>
      </c>
      <c r="T18" s="37"/>
      <c r="U18" s="25"/>
      <c r="V18" s="2"/>
      <c r="W18" s="22"/>
    </row>
    <row r="19" spans="1:23" x14ac:dyDescent="0.2">
      <c r="A19" s="21"/>
      <c r="B19" s="63" t="s">
        <v>33</v>
      </c>
      <c r="C19" s="44">
        <f>SUM(C13:C18)</f>
        <v>2160000</v>
      </c>
      <c r="D19" s="45">
        <f>SUM(D13:D18)</f>
        <v>2196533</v>
      </c>
      <c r="E19" s="29"/>
      <c r="F19" s="62" t="s">
        <v>33</v>
      </c>
      <c r="G19" s="44">
        <f>SUM(G13:G18)</f>
        <v>2160000</v>
      </c>
      <c r="H19" s="45">
        <f>SUM(H13:H18)</f>
        <v>1630761</v>
      </c>
      <c r="I19" s="25"/>
      <c r="J19" s="30" t="s">
        <v>20</v>
      </c>
      <c r="K19" s="20">
        <v>0</v>
      </c>
      <c r="L19" s="43">
        <f>SUMIFS(Registros[Egreso],Registros[Mes],MONTH("1"&amp;RESUMEN!$B$5),Registros[Año],$C$5,Registros[Categoría],$J$11,Registros[Subcategoría],J19)</f>
        <v>0</v>
      </c>
      <c r="M19" s="25"/>
      <c r="N19" s="30" t="s">
        <v>20</v>
      </c>
      <c r="O19" s="20">
        <v>0</v>
      </c>
      <c r="P19" s="43">
        <f>SUMIFS(Registros[Egreso],Registros[Mes],MONTH("1"&amp;RESUMEN!$B$5),Registros[Año],$C$5,Registros[Categoría],$N$11,Registros[Subcategoría],N19)</f>
        <v>0</v>
      </c>
      <c r="Q19" s="25"/>
      <c r="R19" s="64" t="s">
        <v>33</v>
      </c>
      <c r="S19" s="46">
        <f>SUM(S13:S18)</f>
        <v>515000</v>
      </c>
      <c r="T19" s="47">
        <f>SUM(T13:T18)</f>
        <v>6814</v>
      </c>
      <c r="U19" s="25"/>
      <c r="V19" s="2"/>
      <c r="W19" s="22"/>
    </row>
    <row r="20" spans="1:23" x14ac:dyDescent="0.2">
      <c r="B20" s="24"/>
      <c r="C20" s="24"/>
      <c r="D20" s="24"/>
      <c r="F20" s="24"/>
      <c r="G20" s="24"/>
      <c r="H20" s="24"/>
      <c r="I20" s="21"/>
      <c r="J20" s="30" t="s">
        <v>9</v>
      </c>
      <c r="K20" s="20">
        <v>0</v>
      </c>
      <c r="L20" s="43">
        <f>SUMIFS(Registros[Egreso],Registros[Mes],MONTH("1"&amp;RESUMEN!$B$5),Registros[Año],$C$5,Registros[Categoría],$J$11,Registros[Subcategoría],J20)</f>
        <v>4600</v>
      </c>
      <c r="M20" s="25"/>
      <c r="N20" s="30" t="s">
        <v>9</v>
      </c>
      <c r="O20" s="20">
        <v>0</v>
      </c>
      <c r="P20" s="43">
        <f>SUMIFS(Registros[Egreso],Registros[Mes],MONTH("1"&amp;RESUMEN!$B$5),Registros[Año],$C$5,Registros[Categoría],$N$11,Registros[Subcategoría],N20)</f>
        <v>30000</v>
      </c>
      <c r="Q20" s="22"/>
      <c r="R20" s="24"/>
      <c r="S20" s="24"/>
      <c r="T20" s="24"/>
      <c r="U20" s="21"/>
      <c r="V20" s="2"/>
      <c r="W20" s="22"/>
    </row>
    <row r="21" spans="1:23" x14ac:dyDescent="0.2">
      <c r="I21" s="21"/>
      <c r="J21" s="30" t="s">
        <v>21</v>
      </c>
      <c r="K21" s="20">
        <v>0</v>
      </c>
      <c r="L21" s="43">
        <f>SUMIFS(Registros[Egreso],Registros[Mes],MONTH("1"&amp;RESUMEN!$B$5),Registros[Año],$C$5,Registros[Categoría],$J$11,Registros[Subcategoría],J21)</f>
        <v>0</v>
      </c>
      <c r="M21" s="25"/>
      <c r="N21" s="30" t="s">
        <v>21</v>
      </c>
      <c r="O21" s="20">
        <v>0</v>
      </c>
      <c r="P21" s="43">
        <f>SUMIFS(Registros[Egreso],Registros[Mes],MONTH("1"&amp;RESUMEN!$B$5),Registros[Año],$C$5,Registros[Categoría],$N$11,Registros[Subcategoría],N21)</f>
        <v>0</v>
      </c>
      <c r="Q21" s="22"/>
      <c r="U21" s="21"/>
      <c r="V21" s="2"/>
      <c r="W21" s="22"/>
    </row>
    <row r="22" spans="1:23" x14ac:dyDescent="0.2">
      <c r="I22" s="21"/>
      <c r="J22" s="30" t="s">
        <v>17</v>
      </c>
      <c r="K22" s="20">
        <v>0</v>
      </c>
      <c r="L22" s="43">
        <f>SUMIFS(Registros[Egreso],Registros[Mes],MONTH("1"&amp;RESUMEN!$B$5),Registros[Año],$C$5,Registros[Categoría],$J$11,Registros[Subcategoría],J22)</f>
        <v>0</v>
      </c>
      <c r="M22" s="25"/>
      <c r="N22" s="30" t="s">
        <v>17</v>
      </c>
      <c r="O22" s="20">
        <v>55000</v>
      </c>
      <c r="P22" s="43">
        <f>SUMIFS(Registros[Egreso],Registros[Mes],MONTH("1"&amp;RESUMEN!$B$5),Registros[Año],$C$5,Registros[Categoría],$N$11,Registros[Subcategoría],N22)</f>
        <v>55000</v>
      </c>
      <c r="Q22" s="22"/>
      <c r="U22" s="21"/>
      <c r="V22" s="2"/>
      <c r="W22" s="22"/>
    </row>
    <row r="23" spans="1:23" x14ac:dyDescent="0.2">
      <c r="I23" s="21"/>
      <c r="J23" s="30" t="s">
        <v>15</v>
      </c>
      <c r="K23" s="20">
        <v>0</v>
      </c>
      <c r="L23" s="43">
        <f>SUMIFS(Registros[Egreso],Registros[Mes],MONTH("1"&amp;RESUMEN!$B$5),Registros[Año],$C$5,Registros[Categoría],$J$11,Registros[Subcategoría],J23)</f>
        <v>0</v>
      </c>
      <c r="M23" s="25"/>
      <c r="N23" s="30" t="s">
        <v>15</v>
      </c>
      <c r="O23" s="20">
        <v>0</v>
      </c>
      <c r="P23" s="43">
        <f>SUMIFS(Registros[Egreso],Registros[Mes],MONTH("1"&amp;RESUMEN!$B$5),Registros[Año],$C$5,Registros[Categoría],$N$11,Registros[Subcategoría],N23)</f>
        <v>67710</v>
      </c>
      <c r="Q23" s="22"/>
      <c r="U23" s="21"/>
      <c r="V23" s="2"/>
      <c r="W23" s="22"/>
    </row>
    <row r="24" spans="1:23" x14ac:dyDescent="0.2">
      <c r="I24" s="21"/>
      <c r="J24" s="35" t="s">
        <v>25</v>
      </c>
      <c r="K24" s="36">
        <v>0</v>
      </c>
      <c r="L24" s="43">
        <f>SUMIFS(Registros[Egreso],Registros[Mes],MONTH("1"&amp;RESUMEN!$B$5),Registros[Año],$C$5,Registros[Categoría],$J$11,Registros[Subcategoría],J24)</f>
        <v>0</v>
      </c>
      <c r="M24" s="25"/>
      <c r="N24" s="35" t="s">
        <v>25</v>
      </c>
      <c r="O24" s="36">
        <v>30000</v>
      </c>
      <c r="P24" s="43">
        <f>SUMIFS(Registros[Egreso],Registros[Mes],MONTH("1"&amp;RESUMEN!$B$5),Registros[Año],$C$5,Registros[Categoría],$N$11,Registros[Subcategoría],N24)</f>
        <v>70496</v>
      </c>
      <c r="Q24" s="22"/>
      <c r="U24" s="21"/>
      <c r="V24" s="2"/>
      <c r="W24" s="22"/>
    </row>
    <row r="25" spans="1:23" x14ac:dyDescent="0.2">
      <c r="I25" s="21"/>
      <c r="J25" s="35" t="s">
        <v>19</v>
      </c>
      <c r="K25" s="36">
        <v>0</v>
      </c>
      <c r="L25" s="43">
        <f>SUMIFS(Registros[Egreso],Registros[Mes],MONTH("1"&amp;RESUMEN!$B$5),Registros[Año],$C$5,Registros[Categoría],$J$11,Registros[Subcategoría],J25)</f>
        <v>0</v>
      </c>
      <c r="N25" s="35" t="s">
        <v>19</v>
      </c>
      <c r="O25" s="36">
        <v>30000</v>
      </c>
      <c r="P25" s="43">
        <f>SUMIFS(Registros[Egreso],Registros[Mes],MONTH("1"&amp;RESUMEN!$B$5),Registros[Año],$C$5,Registros[Categoría],$N$11,Registros[Subcategoría],N25)</f>
        <v>0</v>
      </c>
      <c r="Q25" s="22"/>
      <c r="U25" s="21"/>
      <c r="V25" s="2"/>
      <c r="W25" s="22"/>
    </row>
    <row r="26" spans="1:23" x14ac:dyDescent="0.2">
      <c r="J26" s="35" t="s">
        <v>60</v>
      </c>
      <c r="K26" s="36">
        <v>0</v>
      </c>
      <c r="L26" s="43">
        <f>SUMIFS(Registros[Egreso],Registros[Mes],MONTH("1"&amp;RESUMEN!$B$5),Registros[Año],$C$5,Registros[Categoría],$J$11,Registros[Subcategoría],J26)</f>
        <v>0</v>
      </c>
      <c r="N26" s="35" t="s">
        <v>60</v>
      </c>
      <c r="O26" s="36">
        <v>0</v>
      </c>
      <c r="P26" s="43">
        <f>SUMIFS(Registros[Egreso],Registros[Mes],MONTH("1"&amp;RESUMEN!$B$5),Registros[Año],$C$5,Registros[Categoría],$N$11,Registros[Subcategoría],N26)</f>
        <v>0</v>
      </c>
      <c r="U26" s="21"/>
      <c r="V26" s="2"/>
      <c r="W26" s="22"/>
    </row>
    <row r="27" spans="1:23" x14ac:dyDescent="0.2">
      <c r="J27" s="35" t="s">
        <v>26</v>
      </c>
      <c r="K27" s="36">
        <v>0</v>
      </c>
      <c r="L27" s="43">
        <f>SUMIFS(Registros[Egreso],Registros[Mes],MONTH("1"&amp;RESUMEN!$B$5),Registros[Año],$C$5,Registros[Categoría],$J$11,Registros[Subcategoría],J27)</f>
        <v>36033</v>
      </c>
      <c r="N27" s="35" t="s">
        <v>26</v>
      </c>
      <c r="O27" s="36">
        <v>0</v>
      </c>
      <c r="P27" s="43">
        <f>SUMIFS(Registros[Egreso],Registros[Mes],MONTH("1"&amp;RESUMEN!$B$5),Registros[Año],$C$5,Registros[Categoría],$N$11,Registros[Subcategoría],N27)</f>
        <v>0</v>
      </c>
      <c r="U27" s="21"/>
      <c r="V27" s="2"/>
      <c r="W27" s="22"/>
    </row>
    <row r="28" spans="1:23" x14ac:dyDescent="0.2">
      <c r="J28" s="35" t="s">
        <v>22</v>
      </c>
      <c r="K28" s="36">
        <v>0</v>
      </c>
      <c r="L28" s="43">
        <f>SUMIFS(Registros[Egreso],Registros[Mes],MONTH("1"&amp;RESUMEN!$B$5),Registros[Año],$C$5,Registros[Categoría],$J$11,Registros[Subcategoría],J28)</f>
        <v>0</v>
      </c>
      <c r="N28" s="35" t="s">
        <v>22</v>
      </c>
      <c r="O28" s="36">
        <v>350000</v>
      </c>
      <c r="P28" s="43">
        <f>SUMIFS(Registros[Egreso],Registros[Mes],MONTH("1"&amp;RESUMEN!$B$5),Registros[Año],$C$5,Registros[Categoría],$N$11,Registros[Subcategoría],N28)</f>
        <v>366152</v>
      </c>
      <c r="U28" s="21"/>
      <c r="V28" s="2"/>
      <c r="W28" s="22"/>
    </row>
    <row r="29" spans="1:23" x14ac:dyDescent="0.2">
      <c r="J29" s="35" t="s">
        <v>28</v>
      </c>
      <c r="K29" s="36">
        <v>0</v>
      </c>
      <c r="L29" s="43">
        <f>SUMIFS(Registros[Egreso],Registros[Mes],MONTH("1"&amp;RESUMEN!$B$5),Registros[Año],$C$5,Registros[Categoría],$J$11,Registros[Subcategoría],J29)</f>
        <v>0</v>
      </c>
      <c r="N29" s="35" t="s">
        <v>28</v>
      </c>
      <c r="O29" s="36"/>
      <c r="P29" s="43">
        <f>SUMIFS(Registros[Egreso],Registros[Mes],MONTH("1"&amp;RESUMEN!$B$5),Registros[Año],$C$5,Registros[Categoría],$N$11,Registros[Subcategoría],N29)</f>
        <v>0</v>
      </c>
      <c r="U29" s="21"/>
      <c r="V29" s="2"/>
      <c r="W29" s="22"/>
    </row>
    <row r="30" spans="1:23" x14ac:dyDescent="0.2">
      <c r="J30" s="35" t="s">
        <v>27</v>
      </c>
      <c r="K30" s="36">
        <v>0</v>
      </c>
      <c r="L30" s="43">
        <f>SUMIFS(Registros[Egreso],Registros[Mes],MONTH("1"&amp;RESUMEN!$B$5),Registros[Año],$C$5,Registros[Categoría],$J$11,Registros[Subcategoría],J30)</f>
        <v>0</v>
      </c>
      <c r="N30" s="35" t="s">
        <v>27</v>
      </c>
      <c r="O30" s="36">
        <v>0</v>
      </c>
      <c r="P30" s="43">
        <f>SUMIFS(Registros[Egreso],Registros[Mes],MONTH("1"&amp;RESUMEN!$B$5),Registros[Año],$C$5,Registros[Categoría],$N$11,Registros[Subcategoría],N30)</f>
        <v>18707</v>
      </c>
      <c r="U30" s="21"/>
      <c r="V30"/>
      <c r="W30" s="22"/>
    </row>
    <row r="31" spans="1:23" x14ac:dyDescent="0.2">
      <c r="J31" s="64" t="s">
        <v>33</v>
      </c>
      <c r="K31" s="46">
        <f>SUM(K13:K30)</f>
        <v>1180000</v>
      </c>
      <c r="L31" s="47">
        <f>SUM(L13:L30)</f>
        <v>932023</v>
      </c>
      <c r="M31" s="29"/>
      <c r="N31" s="64" t="s">
        <v>33</v>
      </c>
      <c r="O31" s="46">
        <f>SUM(O13:O30)</f>
        <v>465000</v>
      </c>
      <c r="P31" s="47">
        <f>SUM(P13:P30)</f>
        <v>615855</v>
      </c>
      <c r="U31" s="21"/>
      <c r="V31"/>
      <c r="W31" s="22"/>
    </row>
    <row r="32" spans="1:23" x14ac:dyDescent="0.2">
      <c r="U32" s="21"/>
      <c r="V32"/>
      <c r="W32" s="22"/>
    </row>
    <row r="34" spans="10:11" x14ac:dyDescent="0.2">
      <c r="J34" s="83"/>
      <c r="K34" s="83"/>
    </row>
    <row r="37" spans="10:11" x14ac:dyDescent="0.2">
      <c r="J37" s="83"/>
    </row>
  </sheetData>
  <mergeCells count="4">
    <mergeCell ref="B7:D7"/>
    <mergeCell ref="B8:D8"/>
    <mergeCell ref="F8:H8"/>
    <mergeCell ref="F7:H7"/>
  </mergeCells>
  <conditionalFormatting sqref="D13:D19 T14:T19">
    <cfRule type="expression" dxfId="20" priority="4">
      <formula>D13&gt;C13</formula>
    </cfRule>
  </conditionalFormatting>
  <conditionalFormatting sqref="D13:D19">
    <cfRule type="expression" dxfId="19" priority="3">
      <formula>D13&lt;C13</formula>
    </cfRule>
  </conditionalFormatting>
  <conditionalFormatting sqref="H13:H19 L13:L31 P13:P31">
    <cfRule type="expression" dxfId="18" priority="5">
      <formula>H13&gt;G13</formula>
    </cfRule>
    <cfRule type="expression" dxfId="17" priority="6">
      <formula>H13&lt;G13</formula>
    </cfRule>
  </conditionalFormatting>
  <conditionalFormatting sqref="T13:T18">
    <cfRule type="expression" dxfId="16" priority="1">
      <formula>T13&gt;S13</formula>
    </cfRule>
  </conditionalFormatting>
  <conditionalFormatting sqref="T13:T19">
    <cfRule type="expression" dxfId="15" priority="2">
      <formula>T13&lt;S13</formula>
    </cfRule>
  </conditionalFormatting>
  <dataValidations count="1">
    <dataValidation type="list" allowBlank="1" showInputMessage="1" showErrorMessage="1" sqref="B5" xr:uid="{00000000-0002-0000-0000-000000000000}">
      <formula1>$AZ$5:$AZ$16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8"/>
  <sheetViews>
    <sheetView workbookViewId="0">
      <selection activeCell="E17" sqref="E17"/>
    </sheetView>
  </sheetViews>
  <sheetFormatPr baseColWidth="10" defaultRowHeight="12.75" x14ac:dyDescent="0.2"/>
  <cols>
    <col min="2" max="2" width="16.7109375" customWidth="1"/>
    <col min="3" max="3" width="17.5703125" customWidth="1"/>
    <col min="4" max="7" width="15.5703125" customWidth="1"/>
  </cols>
  <sheetData>
    <row r="2" spans="2:9" x14ac:dyDescent="0.2">
      <c r="B2" s="73" t="s">
        <v>71</v>
      </c>
    </row>
    <row r="3" spans="2:9" x14ac:dyDescent="0.2">
      <c r="B3" s="67" t="s">
        <v>62</v>
      </c>
      <c r="C3" s="67" t="s">
        <v>63</v>
      </c>
      <c r="D3" s="67" t="s">
        <v>61</v>
      </c>
      <c r="E3" s="69" t="s">
        <v>64</v>
      </c>
      <c r="F3" s="68" t="s">
        <v>68</v>
      </c>
      <c r="G3" s="68" t="s">
        <v>69</v>
      </c>
    </row>
    <row r="4" spans="2:9" x14ac:dyDescent="0.2">
      <c r="B4" s="65" t="s">
        <v>30</v>
      </c>
      <c r="C4" s="65" t="s">
        <v>66</v>
      </c>
      <c r="D4" s="66">
        <v>200000</v>
      </c>
      <c r="E4" s="70">
        <v>230294</v>
      </c>
      <c r="F4" s="78">
        <f>E4-D4</f>
        <v>30294</v>
      </c>
      <c r="G4" s="72">
        <f>F4/D4</f>
        <v>0.15146999999999999</v>
      </c>
    </row>
    <row r="5" spans="2:9" x14ac:dyDescent="0.2">
      <c r="B5" s="65" t="s">
        <v>32</v>
      </c>
      <c r="C5" s="65" t="s">
        <v>66</v>
      </c>
      <c r="D5" s="66">
        <v>637388</v>
      </c>
      <c r="E5" s="70">
        <v>698147</v>
      </c>
      <c r="F5" s="78">
        <f>E5-D5</f>
        <v>60759</v>
      </c>
      <c r="G5" s="72">
        <f>F5/D5</f>
        <v>9.5324982585175744E-2</v>
      </c>
    </row>
    <row r="6" spans="2:9" x14ac:dyDescent="0.2">
      <c r="B6" s="65" t="s">
        <v>31</v>
      </c>
      <c r="C6" s="65" t="s">
        <v>66</v>
      </c>
      <c r="D6" s="66">
        <v>190000</v>
      </c>
      <c r="E6" s="70">
        <v>249398</v>
      </c>
      <c r="F6" s="78">
        <f>E6-D6</f>
        <v>59398</v>
      </c>
      <c r="G6" s="72">
        <f>F6/D6</f>
        <v>0.31262105263157897</v>
      </c>
    </row>
    <row r="7" spans="2:9" x14ac:dyDescent="0.2">
      <c r="B7" s="65" t="s">
        <v>29</v>
      </c>
      <c r="C7" s="65" t="s">
        <v>66</v>
      </c>
      <c r="D7" s="66">
        <v>300000</v>
      </c>
      <c r="E7" s="70">
        <f>102414+216164</f>
        <v>318578</v>
      </c>
      <c r="F7" s="78">
        <f>E7-D7</f>
        <v>18578</v>
      </c>
      <c r="G7" s="72">
        <f>F7/D7</f>
        <v>6.1926666666666665E-2</v>
      </c>
    </row>
    <row r="8" spans="2:9" x14ac:dyDescent="0.2">
      <c r="B8" s="65" t="s">
        <v>65</v>
      </c>
      <c r="C8" s="65" t="s">
        <v>66</v>
      </c>
      <c r="D8" s="66">
        <f>600000+3423351</f>
        <v>4023351</v>
      </c>
      <c r="E8" s="70">
        <v>4023555</v>
      </c>
      <c r="F8" s="78">
        <f>E8-D8</f>
        <v>204</v>
      </c>
      <c r="G8" s="72">
        <f>F8/D8</f>
        <v>5.0704002708190261E-5</v>
      </c>
    </row>
    <row r="9" spans="2:9" x14ac:dyDescent="0.2">
      <c r="F9" s="73"/>
    </row>
    <row r="10" spans="2:9" ht="13.5" thickBot="1" x14ac:dyDescent="0.25">
      <c r="C10" s="74" t="s">
        <v>33</v>
      </c>
      <c r="D10" s="75">
        <f>SUM(D4:D8)</f>
        <v>5350739</v>
      </c>
      <c r="E10" s="76">
        <f>SUM(E4:E8)</f>
        <v>5519972</v>
      </c>
      <c r="F10" s="76">
        <f>SUM(F4:F8)</f>
        <v>169233</v>
      </c>
      <c r="G10" s="77">
        <f>AVERAGE(G4:G8)</f>
        <v>0.12427868117722593</v>
      </c>
      <c r="I10" s="71"/>
    </row>
    <row r="11" spans="2:9" ht="13.5" thickTop="1" x14ac:dyDescent="0.2"/>
    <row r="12" spans="2:9" x14ac:dyDescent="0.2">
      <c r="B12" s="73" t="s">
        <v>70</v>
      </c>
    </row>
    <row r="13" spans="2:9" x14ac:dyDescent="0.2">
      <c r="B13" s="67" t="s">
        <v>62</v>
      </c>
      <c r="C13" s="67" t="s">
        <v>63</v>
      </c>
      <c r="D13" s="67" t="s">
        <v>61</v>
      </c>
      <c r="E13" s="69" t="s">
        <v>64</v>
      </c>
      <c r="F13" s="68" t="s">
        <v>68</v>
      </c>
      <c r="G13" s="68" t="s">
        <v>69</v>
      </c>
    </row>
    <row r="14" spans="2:9" x14ac:dyDescent="0.2">
      <c r="B14" s="65" t="s">
        <v>72</v>
      </c>
      <c r="C14" s="65" t="s">
        <v>67</v>
      </c>
      <c r="D14" s="66">
        <v>100000</v>
      </c>
      <c r="E14" s="70">
        <v>66987</v>
      </c>
      <c r="F14" s="78">
        <f>E14-D14</f>
        <v>-33013</v>
      </c>
      <c r="G14" s="72">
        <f>F14/D14</f>
        <v>-0.33012999999999998</v>
      </c>
    </row>
    <row r="15" spans="2:9" x14ac:dyDescent="0.2">
      <c r="B15" s="65" t="s">
        <v>73</v>
      </c>
      <c r="C15" s="65" t="s">
        <v>67</v>
      </c>
      <c r="D15" s="66">
        <v>100000</v>
      </c>
      <c r="E15" s="70">
        <v>75083</v>
      </c>
      <c r="F15" s="78">
        <f>E15-D15</f>
        <v>-24917</v>
      </c>
      <c r="G15" s="72">
        <f>F15/D15</f>
        <v>-0.24917</v>
      </c>
    </row>
    <row r="17" spans="3:7" ht="13.5" thickBot="1" x14ac:dyDescent="0.25">
      <c r="C17" s="74" t="s">
        <v>33</v>
      </c>
      <c r="D17" s="75">
        <f>SUM(D14:D16)</f>
        <v>200000</v>
      </c>
      <c r="E17" s="76">
        <f>SUM(E14:E16)</f>
        <v>142070</v>
      </c>
      <c r="F17" s="76">
        <f>SUM(F14:F16)</f>
        <v>-57930</v>
      </c>
      <c r="G17" s="77">
        <f>AVERAGE(G14:G16)</f>
        <v>-0.28964999999999996</v>
      </c>
    </row>
    <row r="18" spans="3:7" ht="13.5" thickTop="1" x14ac:dyDescent="0.2"/>
  </sheetData>
  <conditionalFormatting sqref="E4:E10">
    <cfRule type="expression" dxfId="14" priority="11">
      <formula>$E4&lt;$D4</formula>
    </cfRule>
    <cfRule type="expression" dxfId="13" priority="12">
      <formula>$E4&gt;$D4</formula>
    </cfRule>
  </conditionalFormatting>
  <conditionalFormatting sqref="E14:E15">
    <cfRule type="expression" dxfId="12" priority="3">
      <formula>$E14&lt;$D14</formula>
    </cfRule>
    <cfRule type="expression" dxfId="11" priority="4">
      <formula>$E14&gt;$D14</formula>
    </cfRule>
  </conditionalFormatting>
  <conditionalFormatting sqref="E17">
    <cfRule type="expression" dxfId="10" priority="7">
      <formula>$E17&lt;$D17</formula>
    </cfRule>
    <cfRule type="expression" dxfId="9" priority="8">
      <formula>$E17&gt;$D17</formula>
    </cfRule>
  </conditionalFormatting>
  <conditionalFormatting sqref="F4:F10">
    <cfRule type="expression" dxfId="8" priority="9">
      <formula>$F4&lt;0</formula>
    </cfRule>
    <cfRule type="expression" dxfId="7" priority="10">
      <formula>$F4&gt;0</formula>
    </cfRule>
  </conditionalFormatting>
  <conditionalFormatting sqref="F14:F15">
    <cfRule type="expression" dxfId="6" priority="1">
      <formula>$F14&lt;0</formula>
    </cfRule>
    <cfRule type="expression" dxfId="5" priority="2">
      <formula>$F14&gt;0</formula>
    </cfRule>
  </conditionalFormatting>
  <conditionalFormatting sqref="F17">
    <cfRule type="expression" dxfId="4" priority="5">
      <formula>$F17&lt;0</formula>
    </cfRule>
    <cfRule type="expression" dxfId="3" priority="6">
      <formula>$F17&gt;0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X1009"/>
  <sheetViews>
    <sheetView workbookViewId="0">
      <pane ySplit="3" topLeftCell="A58" activePane="bottomLeft" state="frozen"/>
      <selection pane="bottomLeft" activeCell="G62" sqref="G62"/>
    </sheetView>
  </sheetViews>
  <sheetFormatPr baseColWidth="10" defaultColWidth="13.42578125" defaultRowHeight="15.75" customHeight="1" x14ac:dyDescent="0.2"/>
  <cols>
    <col min="1" max="1" width="5.28515625" customWidth="1"/>
    <col min="2" max="2" width="10.5703125" style="11" customWidth="1"/>
    <col min="3" max="3" width="43.7109375" customWidth="1"/>
    <col min="4" max="4" width="22.28515625" customWidth="1"/>
    <col min="5" max="5" width="20" customWidth="1"/>
    <col min="6" max="6" width="20" style="51" customWidth="1"/>
    <col min="7" max="7" width="16.85546875" customWidth="1"/>
    <col min="8" max="9" width="16.85546875" hidden="1" customWidth="1"/>
    <col min="10" max="10" width="0" hidden="1" customWidth="1"/>
    <col min="11" max="11" width="22.85546875" hidden="1" customWidth="1"/>
    <col min="12" max="12" width="15.42578125" customWidth="1"/>
    <col min="14" max="14" width="19" customWidth="1"/>
    <col min="19" max="19" width="16.7109375" customWidth="1"/>
    <col min="24" max="24" width="21.7109375" customWidth="1"/>
  </cols>
  <sheetData>
    <row r="2" spans="2:24" ht="15.75" customHeight="1" x14ac:dyDescent="0.25">
      <c r="B2" s="49" t="s">
        <v>58</v>
      </c>
      <c r="U2" s="2"/>
      <c r="W2" s="1" t="s">
        <v>0</v>
      </c>
      <c r="X2" s="1" t="s">
        <v>1</v>
      </c>
    </row>
    <row r="3" spans="2:24" ht="15.75" customHeight="1" x14ac:dyDescent="0.2">
      <c r="B3" s="14" t="s">
        <v>2</v>
      </c>
      <c r="C3" s="15" t="s">
        <v>3</v>
      </c>
      <c r="D3" s="15" t="s">
        <v>4</v>
      </c>
      <c r="E3" s="15" t="s">
        <v>5</v>
      </c>
      <c r="F3" s="16" t="s">
        <v>43</v>
      </c>
      <c r="G3" s="16" t="s">
        <v>44</v>
      </c>
      <c r="H3" s="15" t="s">
        <v>49</v>
      </c>
      <c r="I3" s="15" t="s">
        <v>50</v>
      </c>
      <c r="J3" s="15" t="s">
        <v>147</v>
      </c>
      <c r="K3" s="15" t="s">
        <v>148</v>
      </c>
      <c r="L3" s="4"/>
      <c r="N3" s="1"/>
      <c r="O3" s="4"/>
      <c r="U3" s="2"/>
      <c r="W3" s="2" t="s">
        <v>7</v>
      </c>
      <c r="X3" s="2" t="s">
        <v>59</v>
      </c>
    </row>
    <row r="4" spans="2:24" ht="15.75" customHeight="1" x14ac:dyDescent="0.2">
      <c r="B4" s="10">
        <v>46082</v>
      </c>
      <c r="C4" s="3" t="s">
        <v>74</v>
      </c>
      <c r="D4" s="3" t="s">
        <v>7</v>
      </c>
      <c r="E4" s="3"/>
      <c r="F4" s="50">
        <v>1795407</v>
      </c>
      <c r="G4" s="7"/>
      <c r="H4" s="2">
        <f>MONTH(Registros[[#This Row],[Fecha]])</f>
        <v>3</v>
      </c>
      <c r="I4" s="2">
        <f>YEAR(Registros[[#This Row],[Fecha]])</f>
        <v>2026</v>
      </c>
      <c r="J4" t="b">
        <f>OR(ISNUMBER(FIND("Sueldo",Registros[[#This Row],[Descripción]])),ISNUMBER(FIND("sueldo",Registros[[#This Row],[Descripción]])))</f>
        <v>1</v>
      </c>
      <c r="K4" t="b">
        <f>OR(ISNUMBER(FIND("Javi",Registros[[#This Row],[Descripción]])),ISNUMBER(FIND("javi",Registros[[#This Row],[Descripción]])))</f>
        <v>0</v>
      </c>
      <c r="L4" s="79"/>
      <c r="M4" s="80"/>
      <c r="N4" s="1"/>
      <c r="O4" s="4"/>
      <c r="Q4" s="1"/>
      <c r="U4" s="2"/>
      <c r="W4" s="2" t="s">
        <v>8</v>
      </c>
      <c r="X4" s="2" t="s">
        <v>11</v>
      </c>
    </row>
    <row r="5" spans="2:24" ht="15.75" customHeight="1" x14ac:dyDescent="0.2">
      <c r="B5" s="10">
        <v>46082</v>
      </c>
      <c r="C5" s="3" t="s">
        <v>111</v>
      </c>
      <c r="D5" s="3" t="s">
        <v>8</v>
      </c>
      <c r="E5" s="3" t="s">
        <v>15</v>
      </c>
      <c r="F5" s="50"/>
      <c r="G5" s="7">
        <v>164834</v>
      </c>
      <c r="H5" s="2">
        <f>MONTH(Registros[[#This Row],[Fecha]])</f>
        <v>3</v>
      </c>
      <c r="I5" s="2">
        <f>YEAR(Registros[[#This Row],[Fecha]])</f>
        <v>2026</v>
      </c>
      <c r="J5" t="b">
        <f>OR(ISNUMBER(FIND("Sueldo",Registros[[#This Row],[Descripción]])),ISNUMBER(FIND("sueldo",Registros[[#This Row],[Descripción]])))</f>
        <v>0</v>
      </c>
      <c r="K5" s="1" t="b">
        <f>OR(ISNUMBER(FIND("Javi",Registros[[#This Row],[Descripción]])),ISNUMBER(FIND("javi",Registros[[#This Row],[Descripción]])))</f>
        <v>0</v>
      </c>
      <c r="L5" s="79"/>
      <c r="M5" s="80"/>
      <c r="N5" s="1"/>
      <c r="O5" s="4"/>
      <c r="Q5" s="4"/>
      <c r="U5" s="2"/>
      <c r="W5" s="2" t="s">
        <v>13</v>
      </c>
      <c r="X5" s="2" t="s">
        <v>14</v>
      </c>
    </row>
    <row r="6" spans="2:24" ht="12.75" x14ac:dyDescent="0.2">
      <c r="B6" s="10">
        <v>46082</v>
      </c>
      <c r="C6" s="3"/>
      <c r="D6" s="3" t="s">
        <v>8</v>
      </c>
      <c r="E6" s="3"/>
      <c r="F6" s="50"/>
      <c r="G6" s="7">
        <v>14400</v>
      </c>
      <c r="H6" s="2">
        <f>MONTH(Registros[[#This Row],[Fecha]])</f>
        <v>3</v>
      </c>
      <c r="I6" s="2">
        <f>YEAR(Registros[[#This Row],[Fecha]])</f>
        <v>2026</v>
      </c>
      <c r="J6" t="b">
        <f>OR(ISNUMBER(FIND("Sueldo",Registros[[#This Row],[Descripción]])),ISNUMBER(FIND("sueldo",Registros[[#This Row],[Descripción]])))</f>
        <v>0</v>
      </c>
      <c r="K6" t="b">
        <f>OR(ISNUMBER(FIND("Javi",Registros[[#This Row],[Descripción]])),ISNUMBER(FIND("javi",Registros[[#This Row],[Descripción]])))</f>
        <v>0</v>
      </c>
      <c r="L6" s="79"/>
      <c r="M6" s="80"/>
      <c r="U6" s="2"/>
      <c r="X6" s="2" t="s">
        <v>12</v>
      </c>
    </row>
    <row r="7" spans="2:24" ht="12.75" x14ac:dyDescent="0.2">
      <c r="B7" s="10">
        <v>46082</v>
      </c>
      <c r="C7" s="3"/>
      <c r="D7" s="3" t="s">
        <v>8</v>
      </c>
      <c r="E7" s="3"/>
      <c r="F7" s="50"/>
      <c r="G7" s="7">
        <v>63000</v>
      </c>
      <c r="H7" s="2">
        <f>MONTH(Registros[[#This Row],[Fecha]])</f>
        <v>3</v>
      </c>
      <c r="I7" s="2">
        <f>YEAR(Registros[[#This Row],[Fecha]])</f>
        <v>2026</v>
      </c>
      <c r="J7" t="b">
        <f>OR(ISNUMBER(FIND("Sueldo",Registros[[#This Row],[Descripción]])),ISNUMBER(FIND("sueldo",Registros[[#This Row],[Descripción]])))</f>
        <v>0</v>
      </c>
      <c r="K7" t="b">
        <f>OR(ISNUMBER(FIND("Javi",Registros[[#This Row],[Descripción]])),ISNUMBER(FIND("javi",Registros[[#This Row],[Descripción]])))</f>
        <v>0</v>
      </c>
      <c r="L7" s="79"/>
      <c r="M7" s="80"/>
      <c r="U7" s="2"/>
      <c r="X7" s="2" t="s">
        <v>16</v>
      </c>
    </row>
    <row r="8" spans="2:24" ht="12.75" x14ac:dyDescent="0.2">
      <c r="B8" s="10">
        <v>46082</v>
      </c>
      <c r="C8" s="3"/>
      <c r="D8" s="3" t="s">
        <v>8</v>
      </c>
      <c r="E8" s="3"/>
      <c r="F8" s="50"/>
      <c r="G8" s="7">
        <v>2500</v>
      </c>
      <c r="H8" s="2">
        <f>MONTH(Registros[[#This Row],[Fecha]])</f>
        <v>3</v>
      </c>
      <c r="I8" s="2">
        <f>YEAR(Registros[[#This Row],[Fecha]])</f>
        <v>2026</v>
      </c>
      <c r="J8" t="b">
        <f>OR(ISNUMBER(FIND("Sueldo",Registros[[#This Row],[Descripción]])),ISNUMBER(FIND("sueldo",Registros[[#This Row],[Descripción]])))</f>
        <v>0</v>
      </c>
      <c r="K8" t="b">
        <f>OR(ISNUMBER(FIND("Javi",Registros[[#This Row],[Descripción]])),ISNUMBER(FIND("javi",Registros[[#This Row],[Descripción]])))</f>
        <v>0</v>
      </c>
      <c r="L8" s="79"/>
      <c r="M8" s="80"/>
      <c r="X8" s="2" t="s">
        <v>18</v>
      </c>
    </row>
    <row r="9" spans="2:24" ht="12.75" x14ac:dyDescent="0.2">
      <c r="B9" s="10">
        <v>46082</v>
      </c>
      <c r="C9" s="3" t="s">
        <v>75</v>
      </c>
      <c r="D9" s="3" t="s">
        <v>8</v>
      </c>
      <c r="E9" s="3"/>
      <c r="F9" s="50">
        <v>7444</v>
      </c>
      <c r="G9" s="7"/>
      <c r="H9" s="2">
        <f>MONTH(Registros[[#This Row],[Fecha]])</f>
        <v>3</v>
      </c>
      <c r="I9" s="2">
        <f>YEAR(Registros[[#This Row],[Fecha]])</f>
        <v>2026</v>
      </c>
      <c r="J9" t="b">
        <f>OR(ISNUMBER(FIND("Sueldo",Registros[[#This Row],[Descripción]])),ISNUMBER(FIND("sueldo",Registros[[#This Row],[Descripción]])))</f>
        <v>0</v>
      </c>
      <c r="K9" t="b">
        <f>OR(ISNUMBER(FIND("Javi",Registros[[#This Row],[Descripción]])),ISNUMBER(FIND("javi",Registros[[#This Row],[Descripción]])))</f>
        <v>0</v>
      </c>
      <c r="L9" s="79"/>
      <c r="M9" s="80"/>
      <c r="X9" s="2" t="s">
        <v>20</v>
      </c>
    </row>
    <row r="10" spans="2:24" ht="12.75" x14ac:dyDescent="0.2">
      <c r="B10" s="10">
        <v>46082</v>
      </c>
      <c r="C10" s="3" t="s">
        <v>76</v>
      </c>
      <c r="D10" s="3" t="s">
        <v>7</v>
      </c>
      <c r="E10" s="3" t="s">
        <v>22</v>
      </c>
      <c r="F10" s="50"/>
      <c r="G10" s="7">
        <v>109870</v>
      </c>
      <c r="H10" s="2">
        <f>MONTH(Registros[[#This Row],[Fecha]])</f>
        <v>3</v>
      </c>
      <c r="I10" s="2">
        <f>YEAR(Registros[[#This Row],[Fecha]])</f>
        <v>2026</v>
      </c>
      <c r="J10" t="b">
        <f>OR(ISNUMBER(FIND("Sueldo",Registros[[#This Row],[Descripción]])),ISNUMBER(FIND("sueldo",Registros[[#This Row],[Descripción]])))</f>
        <v>0</v>
      </c>
      <c r="K10" t="b">
        <f>OR(ISNUMBER(FIND("Javi",Registros[[#This Row],[Descripción]])),ISNUMBER(FIND("javi",Registros[[#This Row],[Descripción]])))</f>
        <v>0</v>
      </c>
      <c r="L10" s="79"/>
      <c r="M10" s="80"/>
      <c r="X10" s="2" t="s">
        <v>9</v>
      </c>
    </row>
    <row r="11" spans="2:24" ht="12.75" x14ac:dyDescent="0.2">
      <c r="B11" s="10">
        <v>46082</v>
      </c>
      <c r="C11" s="3"/>
      <c r="D11" s="3" t="s">
        <v>8</v>
      </c>
      <c r="E11" s="3"/>
      <c r="F11" s="50"/>
      <c r="G11" s="7">
        <v>6480</v>
      </c>
      <c r="H11" s="2">
        <f>MONTH(Registros[[#This Row],[Fecha]])</f>
        <v>3</v>
      </c>
      <c r="I11" s="2">
        <f>YEAR(Registros[[#This Row],[Fecha]])</f>
        <v>2026</v>
      </c>
      <c r="J11" t="b">
        <f>OR(ISNUMBER(FIND("Sueldo",Registros[[#This Row],[Descripción]])),ISNUMBER(FIND("sueldo",Registros[[#This Row],[Descripción]])))</f>
        <v>0</v>
      </c>
      <c r="K11" t="b">
        <f>OR(ISNUMBER(FIND("Javi",Registros[[#This Row],[Descripción]])),ISNUMBER(FIND("javi",Registros[[#This Row],[Descripción]])))</f>
        <v>0</v>
      </c>
      <c r="L11" s="79"/>
      <c r="M11" s="80"/>
      <c r="X11" s="2" t="s">
        <v>21</v>
      </c>
    </row>
    <row r="12" spans="2:24" ht="12.75" x14ac:dyDescent="0.2">
      <c r="B12" s="10">
        <v>46082</v>
      </c>
      <c r="C12" s="3" t="s">
        <v>77</v>
      </c>
      <c r="D12" s="3" t="s">
        <v>8</v>
      </c>
      <c r="E12" s="3" t="s">
        <v>12</v>
      </c>
      <c r="F12" s="50"/>
      <c r="G12" s="7">
        <v>4000</v>
      </c>
      <c r="H12" s="2">
        <f>MONTH(Registros[[#This Row],[Fecha]])</f>
        <v>3</v>
      </c>
      <c r="I12" s="2">
        <f>YEAR(Registros[[#This Row],[Fecha]])</f>
        <v>2026</v>
      </c>
      <c r="J12" t="b">
        <f>OR(ISNUMBER(FIND("Sueldo",Registros[[#This Row],[Descripción]])),ISNUMBER(FIND("sueldo",Registros[[#This Row],[Descripción]])))</f>
        <v>0</v>
      </c>
      <c r="K12" t="b">
        <f>OR(ISNUMBER(FIND("Javi",Registros[[#This Row],[Descripción]])),ISNUMBER(FIND("javi",Registros[[#This Row],[Descripción]])))</f>
        <v>0</v>
      </c>
      <c r="L12" s="79"/>
      <c r="M12" s="80"/>
      <c r="X12" s="2" t="s">
        <v>17</v>
      </c>
    </row>
    <row r="13" spans="2:24" ht="12.75" x14ac:dyDescent="0.2">
      <c r="B13" s="10">
        <v>46082</v>
      </c>
      <c r="C13" s="3" t="s">
        <v>14</v>
      </c>
      <c r="D13" s="3" t="s">
        <v>7</v>
      </c>
      <c r="E13" s="3" t="s">
        <v>14</v>
      </c>
      <c r="F13" s="50"/>
      <c r="G13" s="7">
        <v>588166</v>
      </c>
      <c r="H13" s="2">
        <f>MONTH(Registros[[#This Row],[Fecha]])</f>
        <v>3</v>
      </c>
      <c r="I13" s="2">
        <f>YEAR(Registros[[#This Row],[Fecha]])</f>
        <v>2026</v>
      </c>
      <c r="J13" t="b">
        <f>OR(ISNUMBER(FIND("Sueldo",Registros[[#This Row],[Descripción]])),ISNUMBER(FIND("sueldo",Registros[[#This Row],[Descripción]])))</f>
        <v>0</v>
      </c>
      <c r="K13" t="b">
        <f>OR(ISNUMBER(FIND("Javi",Registros[[#This Row],[Descripción]])),ISNUMBER(FIND("javi",Registros[[#This Row],[Descripción]])))</f>
        <v>0</v>
      </c>
      <c r="L13" s="79"/>
      <c r="M13" s="80"/>
      <c r="X13" s="2" t="s">
        <v>15</v>
      </c>
    </row>
    <row r="14" spans="2:24" ht="12.75" x14ac:dyDescent="0.2">
      <c r="B14" s="10">
        <v>46082</v>
      </c>
      <c r="C14" s="3"/>
      <c r="D14" s="3" t="s">
        <v>8</v>
      </c>
      <c r="E14" s="3"/>
      <c r="F14" s="50"/>
      <c r="G14" s="7">
        <v>11040</v>
      </c>
      <c r="H14" s="2">
        <f>MONTH(Registros[[#This Row],[Fecha]])</f>
        <v>3</v>
      </c>
      <c r="I14" s="2">
        <f>YEAR(Registros[[#This Row],[Fecha]])</f>
        <v>2026</v>
      </c>
      <c r="J14" t="b">
        <f>OR(ISNUMBER(FIND("Sueldo",Registros[[#This Row],[Descripción]])),ISNUMBER(FIND("sueldo",Registros[[#This Row],[Descripción]])))</f>
        <v>0</v>
      </c>
      <c r="K14" t="b">
        <f>OR(ISNUMBER(FIND("Javi",Registros[[#This Row],[Descripción]])),ISNUMBER(FIND("javi",Registros[[#This Row],[Descripción]])))</f>
        <v>0</v>
      </c>
      <c r="L14" s="79"/>
      <c r="M14" s="80"/>
      <c r="X14" s="2" t="s">
        <v>25</v>
      </c>
    </row>
    <row r="15" spans="2:24" ht="12.75" x14ac:dyDescent="0.2">
      <c r="B15" s="10">
        <v>46083</v>
      </c>
      <c r="C15" s="3" t="s">
        <v>78</v>
      </c>
      <c r="D15" s="3" t="s">
        <v>7</v>
      </c>
      <c r="E15" s="3" t="s">
        <v>14</v>
      </c>
      <c r="F15" s="50">
        <v>360000</v>
      </c>
      <c r="G15" s="7"/>
      <c r="H15" s="2">
        <f>MONTH(Registros[[#This Row],[Fecha]])</f>
        <v>3</v>
      </c>
      <c r="I15" s="2">
        <f>YEAR(Registros[[#This Row],[Fecha]])</f>
        <v>2026</v>
      </c>
      <c r="J15" t="b">
        <f>OR(ISNUMBER(FIND("Sueldo",Registros[[#This Row],[Descripción]])),ISNUMBER(FIND("sueldo",Registros[[#This Row],[Descripción]])))</f>
        <v>0</v>
      </c>
      <c r="K15" t="b">
        <f>OR(ISNUMBER(FIND("Javi",Registros[[#This Row],[Descripción]])),ISNUMBER(FIND("javi",Registros[[#This Row],[Descripción]])))</f>
        <v>1</v>
      </c>
      <c r="L15" s="79"/>
      <c r="M15" s="80"/>
      <c r="X15" s="2" t="s">
        <v>19</v>
      </c>
    </row>
    <row r="16" spans="2:24" ht="12.75" x14ac:dyDescent="0.2">
      <c r="B16" s="10">
        <v>46083</v>
      </c>
      <c r="C16" s="3" t="s">
        <v>79</v>
      </c>
      <c r="D16" s="3" t="s">
        <v>7</v>
      </c>
      <c r="E16" s="3" t="s">
        <v>59</v>
      </c>
      <c r="F16" s="50"/>
      <c r="G16" s="7">
        <v>6770</v>
      </c>
      <c r="H16" s="2">
        <f>MONTH(Registros[[#This Row],[Fecha]])</f>
        <v>3</v>
      </c>
      <c r="I16" s="2">
        <f>YEAR(Registros[[#This Row],[Fecha]])</f>
        <v>2026</v>
      </c>
      <c r="J16" t="b">
        <f>OR(ISNUMBER(FIND("Sueldo",Registros[[#This Row],[Descripción]])),ISNUMBER(FIND("sueldo",Registros[[#This Row],[Descripción]])))</f>
        <v>0</v>
      </c>
      <c r="K16" t="b">
        <f>OR(ISNUMBER(FIND("Javi",Registros[[#This Row],[Descripción]])),ISNUMBER(FIND("javi",Registros[[#This Row],[Descripción]])))</f>
        <v>0</v>
      </c>
      <c r="L16" s="79"/>
      <c r="M16" s="80"/>
      <c r="X16" s="2" t="s">
        <v>60</v>
      </c>
    </row>
    <row r="17" spans="2:24" ht="12.75" x14ac:dyDescent="0.2">
      <c r="B17" s="10">
        <v>46083</v>
      </c>
      <c r="C17" s="3" t="s">
        <v>80</v>
      </c>
      <c r="D17" s="3" t="s">
        <v>8</v>
      </c>
      <c r="E17" s="3" t="s">
        <v>17</v>
      </c>
      <c r="F17" s="50"/>
      <c r="G17" s="7">
        <v>70000</v>
      </c>
      <c r="H17" s="2">
        <f>MONTH(Registros[[#This Row],[Fecha]])</f>
        <v>3</v>
      </c>
      <c r="I17" s="2">
        <f>YEAR(Registros[[#This Row],[Fecha]])</f>
        <v>2026</v>
      </c>
      <c r="J17" s="4" t="b">
        <f>OR(ISNUMBER(FIND("Sueldo",Registros[[#This Row],[Descripción]])),ISNUMBER(FIND("sueldo",Registros[[#This Row],[Descripción]])))</f>
        <v>0</v>
      </c>
      <c r="K17" t="b">
        <f>OR(ISNUMBER(FIND("Javi",Registros[[#This Row],[Descripción]])),ISNUMBER(FIND("javi",Registros[[#This Row],[Descripción]])))</f>
        <v>0</v>
      </c>
      <c r="L17" s="79"/>
      <c r="M17" s="80"/>
      <c r="X17" s="2" t="s">
        <v>26</v>
      </c>
    </row>
    <row r="18" spans="2:24" ht="12.75" x14ac:dyDescent="0.2">
      <c r="B18" s="10">
        <v>46084</v>
      </c>
      <c r="C18" s="3" t="s">
        <v>127</v>
      </c>
      <c r="D18" s="3" t="s">
        <v>7</v>
      </c>
      <c r="E18" s="3" t="s">
        <v>11</v>
      </c>
      <c r="F18" s="50"/>
      <c r="G18" s="7">
        <v>46286</v>
      </c>
      <c r="H18" s="2">
        <f>MONTH(Registros[[#This Row],[Fecha]])</f>
        <v>3</v>
      </c>
      <c r="I18" s="2">
        <f>YEAR(Registros[[#This Row],[Fecha]])</f>
        <v>2026</v>
      </c>
      <c r="J18" s="4" t="b">
        <f>OR(ISNUMBER(FIND("Sueldo",Registros[[#This Row],[Descripción]])),ISNUMBER(FIND("sueldo",Registros[[#This Row],[Descripción]])))</f>
        <v>0</v>
      </c>
      <c r="K18" t="b">
        <f>OR(ISNUMBER(FIND("Javi",Registros[[#This Row],[Descripción]])),ISNUMBER(FIND("javi",Registros[[#This Row],[Descripción]])))</f>
        <v>0</v>
      </c>
      <c r="L18" s="79"/>
      <c r="M18" s="80"/>
      <c r="X18" s="2" t="s">
        <v>22</v>
      </c>
    </row>
    <row r="19" spans="2:24" ht="15.75" customHeight="1" x14ac:dyDescent="0.2">
      <c r="B19" s="10">
        <v>46084</v>
      </c>
      <c r="C19" s="3" t="s">
        <v>81</v>
      </c>
      <c r="D19" s="3" t="s">
        <v>7</v>
      </c>
      <c r="E19" s="3" t="s">
        <v>11</v>
      </c>
      <c r="F19" s="50"/>
      <c r="G19" s="7">
        <v>7990</v>
      </c>
      <c r="H19" s="2">
        <f>MONTH(Registros[[#This Row],[Fecha]])</f>
        <v>3</v>
      </c>
      <c r="I19" s="2">
        <f>YEAR(Registros[[#This Row],[Fecha]])</f>
        <v>2026</v>
      </c>
      <c r="J19" s="4" t="b">
        <f>OR(ISNUMBER(FIND("Sueldo",Registros[[#This Row],[Descripción]])),ISNUMBER(FIND("sueldo",Registros[[#This Row],[Descripción]])))</f>
        <v>0</v>
      </c>
      <c r="K19" t="b">
        <f>OR(ISNUMBER(FIND("Javi",Registros[[#This Row],[Descripción]])),ISNUMBER(FIND("javi",Registros[[#This Row],[Descripción]])))</f>
        <v>0</v>
      </c>
      <c r="L19" s="79"/>
      <c r="M19" s="80"/>
      <c r="S19" s="1"/>
      <c r="U19" s="2"/>
      <c r="V19" s="2"/>
      <c r="X19" s="2" t="s">
        <v>28</v>
      </c>
    </row>
    <row r="20" spans="2:24" ht="15.75" customHeight="1" x14ac:dyDescent="0.2">
      <c r="B20" s="10">
        <v>46085</v>
      </c>
      <c r="C20" s="3" t="s">
        <v>82</v>
      </c>
      <c r="D20" s="3" t="s">
        <v>7</v>
      </c>
      <c r="E20" s="3" t="s">
        <v>12</v>
      </c>
      <c r="F20" s="50"/>
      <c r="G20" s="7">
        <v>20000</v>
      </c>
      <c r="H20" s="2">
        <f>MONTH(Registros[[#This Row],[Fecha]])</f>
        <v>3</v>
      </c>
      <c r="I20" s="2">
        <f>YEAR(Registros[[#This Row],[Fecha]])</f>
        <v>2026</v>
      </c>
      <c r="J20" s="4" t="b">
        <f>OR(ISNUMBER(FIND("Sueldo",Registros[[#This Row],[Descripción]])),ISNUMBER(FIND("sueldo",Registros[[#This Row],[Descripción]])))</f>
        <v>0</v>
      </c>
      <c r="K20" t="b">
        <f>OR(ISNUMBER(FIND("Javi",Registros[[#This Row],[Descripción]])),ISNUMBER(FIND("javi",Registros[[#This Row],[Descripción]])))</f>
        <v>0</v>
      </c>
      <c r="L20" s="79"/>
      <c r="M20" s="80"/>
      <c r="N20" s="1"/>
      <c r="O20" s="79"/>
      <c r="S20" s="2"/>
      <c r="T20" s="4"/>
      <c r="U20" s="4"/>
      <c r="V20" s="4"/>
      <c r="X20" s="2" t="s">
        <v>27</v>
      </c>
    </row>
    <row r="21" spans="2:24" ht="15.75" customHeight="1" x14ac:dyDescent="0.2">
      <c r="B21" s="10">
        <v>46085</v>
      </c>
      <c r="C21" s="3" t="s">
        <v>83</v>
      </c>
      <c r="D21" s="3" t="s">
        <v>7</v>
      </c>
      <c r="E21" s="3" t="s">
        <v>9</v>
      </c>
      <c r="F21" s="50"/>
      <c r="G21" s="7">
        <v>5700</v>
      </c>
      <c r="H21" s="2">
        <f>MONTH(Registros[[#This Row],[Fecha]])</f>
        <v>3</v>
      </c>
      <c r="I21" s="2">
        <f>YEAR(Registros[[#This Row],[Fecha]])</f>
        <v>2026</v>
      </c>
      <c r="J21" s="4" t="b">
        <f>OR(ISNUMBER(FIND("Sueldo",Registros[[#This Row],[Descripción]])),ISNUMBER(FIND("sueldo",Registros[[#This Row],[Descripción]])))</f>
        <v>0</v>
      </c>
      <c r="K21" t="b">
        <f>OR(ISNUMBER(FIND("Javi",Registros[[#This Row],[Descripción]])),ISNUMBER(FIND("javi",Registros[[#This Row],[Descripción]])))</f>
        <v>0</v>
      </c>
      <c r="N21" s="1"/>
      <c r="O21" s="79"/>
      <c r="S21" s="2"/>
      <c r="T21" s="4"/>
      <c r="U21" s="4"/>
      <c r="V21" s="4"/>
      <c r="X21" s="2" t="s">
        <v>23</v>
      </c>
    </row>
    <row r="22" spans="2:24" ht="15.75" customHeight="1" x14ac:dyDescent="0.2">
      <c r="B22" s="10">
        <v>46086</v>
      </c>
      <c r="C22" s="3" t="s">
        <v>84</v>
      </c>
      <c r="D22" s="3" t="s">
        <v>8</v>
      </c>
      <c r="E22" s="3" t="s">
        <v>25</v>
      </c>
      <c r="F22" s="50"/>
      <c r="G22" s="7">
        <v>38000</v>
      </c>
      <c r="H22" s="2">
        <f>MONTH(Registros[[#This Row],[Fecha]])</f>
        <v>3</v>
      </c>
      <c r="I22" s="2">
        <f>YEAR(Registros[[#This Row],[Fecha]])</f>
        <v>2026</v>
      </c>
      <c r="J22" s="4" t="b">
        <f>OR(ISNUMBER(FIND("Sueldo",Registros[[#This Row],[Descripción]])),ISNUMBER(FIND("sueldo",Registros[[#This Row],[Descripción]])))</f>
        <v>0</v>
      </c>
      <c r="K22" t="b">
        <f>OR(ISNUMBER(FIND("Javi",Registros[[#This Row],[Descripción]])),ISNUMBER(FIND("javi",Registros[[#This Row],[Descripción]])))</f>
        <v>0</v>
      </c>
      <c r="N22" s="1"/>
      <c r="O22" s="79"/>
      <c r="S22" s="2"/>
      <c r="T22" s="4"/>
      <c r="U22" s="4"/>
    </row>
    <row r="23" spans="2:24" ht="15.75" customHeight="1" x14ac:dyDescent="0.2">
      <c r="B23" s="10">
        <v>46086</v>
      </c>
      <c r="C23" s="3" t="s">
        <v>85</v>
      </c>
      <c r="D23" s="3" t="s">
        <v>8</v>
      </c>
      <c r="E23" s="3" t="s">
        <v>25</v>
      </c>
      <c r="F23" s="50">
        <v>12590</v>
      </c>
      <c r="G23" s="7"/>
      <c r="H23" s="2">
        <f>MONTH(Registros[[#This Row],[Fecha]])</f>
        <v>3</v>
      </c>
      <c r="I23" s="2">
        <f>YEAR(Registros[[#This Row],[Fecha]])</f>
        <v>2026</v>
      </c>
      <c r="J23" t="b">
        <f>OR(ISNUMBER(FIND("Sueldo",Registros[[#This Row],[Descripción]])),ISNUMBER(FIND("sueldo",Registros[[#This Row],[Descripción]])))</f>
        <v>0</v>
      </c>
      <c r="K23" t="b">
        <f>OR(ISNUMBER(FIND("Javi",Registros[[#This Row],[Descripción]])),ISNUMBER(FIND("javi",Registros[[#This Row],[Descripción]])))</f>
        <v>0</v>
      </c>
      <c r="N23" s="1"/>
      <c r="O23" s="79"/>
      <c r="S23" s="2"/>
      <c r="T23" s="4"/>
      <c r="U23" s="4"/>
      <c r="V23" s="4"/>
    </row>
    <row r="24" spans="2:24" ht="15.75" customHeight="1" x14ac:dyDescent="0.2">
      <c r="B24" s="10">
        <v>46086</v>
      </c>
      <c r="C24" s="3"/>
      <c r="D24" s="3" t="s">
        <v>8</v>
      </c>
      <c r="E24" s="3"/>
      <c r="F24" s="50"/>
      <c r="G24" s="7">
        <v>5200</v>
      </c>
      <c r="H24" s="2">
        <f>MONTH(Registros[[#This Row],[Fecha]])</f>
        <v>3</v>
      </c>
      <c r="I24" s="2">
        <f>YEAR(Registros[[#This Row],[Fecha]])</f>
        <v>2026</v>
      </c>
      <c r="J24" t="b">
        <f>OR(ISNUMBER(FIND("Sueldo",Registros[[#This Row],[Descripción]])),ISNUMBER(FIND("sueldo",Registros[[#This Row],[Descripción]])))</f>
        <v>0</v>
      </c>
      <c r="K24" t="b">
        <f>OR(ISNUMBER(FIND("Javi",Registros[[#This Row],[Descripción]])),ISNUMBER(FIND("javi",Registros[[#This Row],[Descripción]])))</f>
        <v>0</v>
      </c>
      <c r="N24" s="1"/>
      <c r="O24" s="79"/>
      <c r="S24" s="2"/>
      <c r="T24" s="4"/>
      <c r="U24" s="4"/>
    </row>
    <row r="25" spans="2:24" ht="15.75" customHeight="1" x14ac:dyDescent="0.2">
      <c r="B25" s="10">
        <v>46087</v>
      </c>
      <c r="C25" s="3" t="s">
        <v>86</v>
      </c>
      <c r="D25" s="3" t="s">
        <v>8</v>
      </c>
      <c r="E25" s="3" t="s">
        <v>9</v>
      </c>
      <c r="F25" s="50"/>
      <c r="G25" s="7">
        <v>19920</v>
      </c>
      <c r="H25" s="2">
        <f>MONTH(Registros[[#This Row],[Fecha]])</f>
        <v>3</v>
      </c>
      <c r="I25" s="2">
        <f>YEAR(Registros[[#This Row],[Fecha]])</f>
        <v>2026</v>
      </c>
      <c r="J25" t="b">
        <f>OR(ISNUMBER(FIND("Sueldo",Registros[[#This Row],[Descripción]])),ISNUMBER(FIND("sueldo",Registros[[#This Row],[Descripción]])))</f>
        <v>0</v>
      </c>
      <c r="K25" t="b">
        <f>OR(ISNUMBER(FIND("Javi",Registros[[#This Row],[Descripción]])),ISNUMBER(FIND("javi",Registros[[#This Row],[Descripción]])))</f>
        <v>1</v>
      </c>
      <c r="O25" s="5"/>
      <c r="S25" s="2"/>
      <c r="T25" s="4"/>
      <c r="U25" s="4"/>
      <c r="V25" s="4"/>
    </row>
    <row r="26" spans="2:24" ht="15.75" customHeight="1" x14ac:dyDescent="0.2">
      <c r="B26" s="10">
        <v>46087</v>
      </c>
      <c r="C26" s="3" t="s">
        <v>87</v>
      </c>
      <c r="D26" s="3" t="s">
        <v>8</v>
      </c>
      <c r="E26" s="3" t="s">
        <v>27</v>
      </c>
      <c r="F26" s="50">
        <v>39840</v>
      </c>
      <c r="G26" s="7"/>
      <c r="H26" s="2">
        <f>MONTH(Registros[[#This Row],[Fecha]])</f>
        <v>3</v>
      </c>
      <c r="I26" s="2">
        <f>YEAR(Registros[[#This Row],[Fecha]])</f>
        <v>2026</v>
      </c>
      <c r="J26" t="b">
        <f>OR(ISNUMBER(FIND("Sueldo",Registros[[#This Row],[Descripción]])),ISNUMBER(FIND("sueldo",Registros[[#This Row],[Descripción]])))</f>
        <v>0</v>
      </c>
      <c r="K26" t="b">
        <f>OR(ISNUMBER(FIND("Javi",Registros[[#This Row],[Descripción]])),ISNUMBER(FIND("javi",Registros[[#This Row],[Descripción]])))</f>
        <v>0</v>
      </c>
      <c r="S26" s="1"/>
      <c r="T26" s="5"/>
      <c r="V26" s="4"/>
    </row>
    <row r="27" spans="2:24" ht="12.75" x14ac:dyDescent="0.2">
      <c r="B27" s="10">
        <v>46087</v>
      </c>
      <c r="C27" s="3" t="s">
        <v>88</v>
      </c>
      <c r="D27" s="3" t="s">
        <v>8</v>
      </c>
      <c r="E27" s="3" t="s">
        <v>27</v>
      </c>
      <c r="F27" s="50">
        <v>19920</v>
      </c>
      <c r="G27" s="7"/>
      <c r="H27" s="2">
        <f>MONTH(Registros[[#This Row],[Fecha]])</f>
        <v>3</v>
      </c>
      <c r="I27" s="2">
        <f>YEAR(Registros[[#This Row],[Fecha]])</f>
        <v>2026</v>
      </c>
      <c r="J27" t="b">
        <f>OR(ISNUMBER(FIND("Sueldo",Registros[[#This Row],[Descripción]])),ISNUMBER(FIND("sueldo",Registros[[#This Row],[Descripción]])))</f>
        <v>0</v>
      </c>
      <c r="K27" t="b">
        <f>OR(ISNUMBER(FIND("Javi",Registros[[#This Row],[Descripción]])),ISNUMBER(FIND("javi",Registros[[#This Row],[Descripción]])))</f>
        <v>0</v>
      </c>
      <c r="T27" s="4"/>
      <c r="V27" s="4"/>
    </row>
    <row r="28" spans="2:24" ht="15.75" customHeight="1" x14ac:dyDescent="0.2">
      <c r="B28" s="10">
        <v>46087</v>
      </c>
      <c r="C28" s="3" t="s">
        <v>89</v>
      </c>
      <c r="D28" s="3" t="s">
        <v>8</v>
      </c>
      <c r="E28" s="3" t="s">
        <v>9</v>
      </c>
      <c r="F28" s="50"/>
      <c r="G28" s="7">
        <v>31990</v>
      </c>
      <c r="H28" s="2">
        <f>MONTH(Registros[[#This Row],[Fecha]])</f>
        <v>3</v>
      </c>
      <c r="I28" s="2">
        <f>YEAR(Registros[[#This Row],[Fecha]])</f>
        <v>2026</v>
      </c>
      <c r="J28" t="b">
        <f>OR(ISNUMBER(FIND("Sueldo",Registros[[#This Row],[Descripción]])),ISNUMBER(FIND("sueldo",Registros[[#This Row],[Descripción]])))</f>
        <v>0</v>
      </c>
      <c r="K28" t="b">
        <f>OR(ISNUMBER(FIND("Javi",Registros[[#This Row],[Descripción]])),ISNUMBER(FIND("javi",Registros[[#This Row],[Descripción]])))</f>
        <v>0</v>
      </c>
      <c r="S28" s="1"/>
      <c r="T28" s="5"/>
      <c r="U28" s="2"/>
    </row>
    <row r="29" spans="2:24" ht="15.75" customHeight="1" x14ac:dyDescent="0.2">
      <c r="B29" s="10">
        <v>46087</v>
      </c>
      <c r="C29" s="3"/>
      <c r="D29" s="3" t="s">
        <v>8</v>
      </c>
      <c r="E29" s="3"/>
      <c r="F29" s="50"/>
      <c r="G29" s="7">
        <v>10000</v>
      </c>
      <c r="H29" s="2">
        <f>MONTH(Registros[[#This Row],[Fecha]])</f>
        <v>3</v>
      </c>
      <c r="I29" s="2">
        <f>YEAR(Registros[[#This Row],[Fecha]])</f>
        <v>2026</v>
      </c>
      <c r="J29" t="b">
        <f>OR(ISNUMBER(FIND("Sueldo",Registros[[#This Row],[Descripción]])),ISNUMBER(FIND("sueldo",Registros[[#This Row],[Descripción]])))</f>
        <v>0</v>
      </c>
      <c r="K29" t="b">
        <f>OR(ISNUMBER(FIND("Javi",Registros[[#This Row],[Descripción]])),ISNUMBER(FIND("javi",Registros[[#This Row],[Descripción]])))</f>
        <v>0</v>
      </c>
      <c r="S29" s="1"/>
      <c r="T29" s="5"/>
      <c r="U29" s="2"/>
    </row>
    <row r="30" spans="2:24" ht="12.75" x14ac:dyDescent="0.2">
      <c r="B30" s="10">
        <v>46088</v>
      </c>
      <c r="C30" s="3"/>
      <c r="D30" s="3" t="s">
        <v>8</v>
      </c>
      <c r="E30" s="3"/>
      <c r="F30" s="50"/>
      <c r="G30" s="7">
        <v>7150</v>
      </c>
      <c r="H30" s="2">
        <f>MONTH(Registros[[#This Row],[Fecha]])</f>
        <v>3</v>
      </c>
      <c r="I30" s="2">
        <f>YEAR(Registros[[#This Row],[Fecha]])</f>
        <v>2026</v>
      </c>
      <c r="J30" t="b">
        <f>OR(ISNUMBER(FIND("Sueldo",Registros[[#This Row],[Descripción]])),ISNUMBER(FIND("sueldo",Registros[[#This Row],[Descripción]])))</f>
        <v>0</v>
      </c>
      <c r="K30" t="b">
        <f>OR(ISNUMBER(FIND("Javi",Registros[[#This Row],[Descripción]])),ISNUMBER(FIND("javi",Registros[[#This Row],[Descripción]])))</f>
        <v>0</v>
      </c>
      <c r="O30" s="4"/>
      <c r="T30" s="2"/>
      <c r="U30" s="2"/>
    </row>
    <row r="31" spans="2:24" ht="12.75" x14ac:dyDescent="0.2">
      <c r="B31" s="10">
        <v>46088</v>
      </c>
      <c r="C31" s="3"/>
      <c r="D31" s="3" t="s">
        <v>8</v>
      </c>
      <c r="E31" s="3"/>
      <c r="F31" s="50"/>
      <c r="G31" s="17">
        <v>5200</v>
      </c>
      <c r="H31" s="2">
        <f>MONTH(Registros[[#This Row],[Fecha]])</f>
        <v>3</v>
      </c>
      <c r="I31" s="2">
        <f>YEAR(Registros[[#This Row],[Fecha]])</f>
        <v>2026</v>
      </c>
      <c r="J31" t="b">
        <f>OR(ISNUMBER(FIND("Sueldo",Registros[[#This Row],[Descripción]])),ISNUMBER(FIND("sueldo",Registros[[#This Row],[Descripción]])))</f>
        <v>0</v>
      </c>
      <c r="K31" t="b">
        <f>OR(ISNUMBER(FIND("Javi",Registros[[#This Row],[Descripción]])),ISNUMBER(FIND("javi",Registros[[#This Row],[Descripción]])))</f>
        <v>0</v>
      </c>
      <c r="O31" s="4"/>
      <c r="S31" s="2"/>
      <c r="T31" s="4"/>
      <c r="U31" s="4"/>
    </row>
    <row r="32" spans="2:24" ht="12.75" x14ac:dyDescent="0.2">
      <c r="B32" s="10">
        <v>46088</v>
      </c>
      <c r="C32" s="3" t="s">
        <v>90</v>
      </c>
      <c r="D32" s="3" t="s">
        <v>8</v>
      </c>
      <c r="E32" s="3" t="s">
        <v>25</v>
      </c>
      <c r="F32" s="50">
        <v>12590</v>
      </c>
      <c r="G32" s="7"/>
      <c r="H32" s="2">
        <f>MONTH(Registros[[#This Row],[Fecha]])</f>
        <v>3</v>
      </c>
      <c r="I32" s="2">
        <f>YEAR(Registros[[#This Row],[Fecha]])</f>
        <v>2026</v>
      </c>
      <c r="J32" t="b">
        <f>OR(ISNUMBER(FIND("Sueldo",Registros[[#This Row],[Descripción]])),ISNUMBER(FIND("sueldo",Registros[[#This Row],[Descripción]])))</f>
        <v>0</v>
      </c>
      <c r="K32" t="b">
        <f>OR(ISNUMBER(FIND("Javi",Registros[[#This Row],[Descripción]])),ISNUMBER(FIND("javi",Registros[[#This Row],[Descripción]])))</f>
        <v>0</v>
      </c>
      <c r="N32" s="4"/>
      <c r="O32" s="80"/>
      <c r="S32" s="2"/>
      <c r="T32" s="4"/>
      <c r="U32" s="4"/>
    </row>
    <row r="33" spans="2:24" ht="12.75" x14ac:dyDescent="0.2">
      <c r="B33" s="10">
        <v>46089</v>
      </c>
      <c r="C33" s="3" t="s">
        <v>38</v>
      </c>
      <c r="D33" s="3" t="s">
        <v>7</v>
      </c>
      <c r="E33" s="3" t="s">
        <v>19</v>
      </c>
      <c r="F33" s="50"/>
      <c r="G33" s="7">
        <v>20000</v>
      </c>
      <c r="H33" s="2">
        <f>MONTH(Registros[[#This Row],[Fecha]])</f>
        <v>3</v>
      </c>
      <c r="I33" s="2">
        <f>YEAR(Registros[[#This Row],[Fecha]])</f>
        <v>2026</v>
      </c>
      <c r="J33" t="b">
        <f>OR(ISNUMBER(FIND("Sueldo",Registros[[#This Row],[Descripción]])),ISNUMBER(FIND("sueldo",Registros[[#This Row],[Descripción]])))</f>
        <v>0</v>
      </c>
      <c r="K33" t="b">
        <f>OR(ISNUMBER(FIND("Javi",Registros[[#This Row],[Descripción]])),ISNUMBER(FIND("javi",Registros[[#This Row],[Descripción]])))</f>
        <v>0</v>
      </c>
      <c r="N33" s="4"/>
      <c r="O33" s="4"/>
      <c r="S33" s="2"/>
      <c r="T33" s="4"/>
      <c r="U33" s="4"/>
    </row>
    <row r="34" spans="2:24" ht="12.75" x14ac:dyDescent="0.2">
      <c r="B34" s="10">
        <v>46089</v>
      </c>
      <c r="C34" s="3" t="s">
        <v>91</v>
      </c>
      <c r="D34" s="3" t="s">
        <v>8</v>
      </c>
      <c r="E34" s="3" t="s">
        <v>22</v>
      </c>
      <c r="F34" s="50"/>
      <c r="G34" s="7">
        <v>25000</v>
      </c>
      <c r="H34" s="2">
        <f>MONTH(Registros[[#This Row],[Fecha]])</f>
        <v>3</v>
      </c>
      <c r="I34" s="2">
        <f>YEAR(Registros[[#This Row],[Fecha]])</f>
        <v>2026</v>
      </c>
      <c r="J34" t="b">
        <f>OR(ISNUMBER(FIND("Sueldo",Registros[[#This Row],[Descripción]])),ISNUMBER(FIND("sueldo",Registros[[#This Row],[Descripción]])))</f>
        <v>0</v>
      </c>
      <c r="K34" t="b">
        <f>OR(ISNUMBER(FIND("Javi",Registros[[#This Row],[Descripción]])),ISNUMBER(FIND("javi",Registros[[#This Row],[Descripción]])))</f>
        <v>0</v>
      </c>
      <c r="N34" s="4"/>
      <c r="O34" s="4"/>
      <c r="S34" s="2"/>
      <c r="T34" s="4"/>
      <c r="U34" s="4"/>
    </row>
    <row r="35" spans="2:24" ht="12.75" x14ac:dyDescent="0.2">
      <c r="B35" s="10">
        <v>46089</v>
      </c>
      <c r="C35" s="3" t="s">
        <v>79</v>
      </c>
      <c r="D35" s="3" t="s">
        <v>7</v>
      </c>
      <c r="E35" s="3" t="s">
        <v>59</v>
      </c>
      <c r="F35" s="50"/>
      <c r="G35" s="7">
        <v>15030</v>
      </c>
      <c r="H35" s="2">
        <f>MONTH(Registros[[#This Row],[Fecha]])</f>
        <v>3</v>
      </c>
      <c r="I35" s="2">
        <f>YEAR(Registros[[#This Row],[Fecha]])</f>
        <v>2026</v>
      </c>
      <c r="J35" t="b">
        <f>OR(ISNUMBER(FIND("Sueldo",Registros[[#This Row],[Descripción]])),ISNUMBER(FIND("sueldo",Registros[[#This Row],[Descripción]])))</f>
        <v>0</v>
      </c>
      <c r="K35" t="b">
        <f>OR(ISNUMBER(FIND("Javi",Registros[[#This Row],[Descripción]])),ISNUMBER(FIND("javi",Registros[[#This Row],[Descripción]])))</f>
        <v>0</v>
      </c>
      <c r="O35" s="4"/>
      <c r="S35" s="2"/>
      <c r="T35" s="4"/>
      <c r="U35" s="4"/>
    </row>
    <row r="36" spans="2:24" ht="12.75" x14ac:dyDescent="0.2">
      <c r="B36" s="10">
        <v>46089</v>
      </c>
      <c r="C36" s="3" t="s">
        <v>92</v>
      </c>
      <c r="D36" s="3" t="s">
        <v>8</v>
      </c>
      <c r="E36" s="3" t="s">
        <v>18</v>
      </c>
      <c r="F36" s="50"/>
      <c r="G36" s="7">
        <v>74996</v>
      </c>
      <c r="H36" s="2">
        <f>MONTH(Registros[[#This Row],[Fecha]])</f>
        <v>3</v>
      </c>
      <c r="I36" s="2">
        <f>YEAR(Registros[[#This Row],[Fecha]])</f>
        <v>2026</v>
      </c>
      <c r="J36" t="b">
        <f>OR(ISNUMBER(FIND("Sueldo",Registros[[#This Row],[Descripción]])),ISNUMBER(FIND("sueldo",Registros[[#This Row],[Descripción]])))</f>
        <v>0</v>
      </c>
      <c r="K36" t="b">
        <f>OR(ISNUMBER(FIND("Javi",Registros[[#This Row],[Descripción]])),ISNUMBER(FIND("javi",Registros[[#This Row],[Descripción]])))</f>
        <v>0</v>
      </c>
      <c r="O36" s="4"/>
      <c r="S36" s="2"/>
      <c r="T36" s="4"/>
      <c r="U36" s="4"/>
    </row>
    <row r="37" spans="2:24" ht="12.75" x14ac:dyDescent="0.2">
      <c r="B37" s="10">
        <v>46089</v>
      </c>
      <c r="C37" s="3" t="s">
        <v>93</v>
      </c>
      <c r="D37" s="3" t="s">
        <v>8</v>
      </c>
      <c r="E37" s="3" t="s">
        <v>18</v>
      </c>
      <c r="F37" s="50"/>
      <c r="G37" s="7">
        <v>53980</v>
      </c>
      <c r="H37" s="2">
        <f>MONTH(Registros[[#This Row],[Fecha]])</f>
        <v>3</v>
      </c>
      <c r="I37" s="2">
        <f>YEAR(Registros[[#This Row],[Fecha]])</f>
        <v>2026</v>
      </c>
      <c r="J37" t="b">
        <f>OR(ISNUMBER(FIND("Sueldo",Registros[[#This Row],[Descripción]])),ISNUMBER(FIND("sueldo",Registros[[#This Row],[Descripción]])))</f>
        <v>0</v>
      </c>
      <c r="K37" s="79" t="b">
        <f>OR(ISNUMBER(FIND("Javi",Registros[[#This Row],[Descripción]])),ISNUMBER(FIND("javi",Registros[[#This Row],[Descripción]])))</f>
        <v>0</v>
      </c>
      <c r="P37" s="4"/>
      <c r="S37" s="2"/>
      <c r="T37" s="4"/>
      <c r="U37" s="4"/>
      <c r="X37" s="2"/>
    </row>
    <row r="38" spans="2:24" ht="12.75" x14ac:dyDescent="0.2">
      <c r="B38" s="10">
        <v>46089</v>
      </c>
      <c r="C38" s="3" t="s">
        <v>94</v>
      </c>
      <c r="D38" s="3" t="s">
        <v>8</v>
      </c>
      <c r="E38" s="3" t="s">
        <v>18</v>
      </c>
      <c r="F38" s="50"/>
      <c r="G38" s="7">
        <v>24990</v>
      </c>
      <c r="H38" s="2">
        <f>MONTH(Registros[[#This Row],[Fecha]])</f>
        <v>3</v>
      </c>
      <c r="I38" s="2">
        <f>YEAR(Registros[[#This Row],[Fecha]])</f>
        <v>2026</v>
      </c>
      <c r="J38" t="b">
        <f>OR(ISNUMBER(FIND("Sueldo",Registros[[#This Row],[Descripción]])),ISNUMBER(FIND("sueldo",Registros[[#This Row],[Descripción]])))</f>
        <v>0</v>
      </c>
      <c r="K38" t="b">
        <f>OR(ISNUMBER(FIND("Javi",Registros[[#This Row],[Descripción]])),ISNUMBER(FIND("javi",Registros[[#This Row],[Descripción]])))</f>
        <v>0</v>
      </c>
      <c r="P38" s="4"/>
      <c r="S38" s="2"/>
      <c r="T38" s="4"/>
      <c r="U38" s="4"/>
      <c r="W38" s="2"/>
      <c r="X38" s="4"/>
    </row>
    <row r="39" spans="2:24" ht="12.75" x14ac:dyDescent="0.2">
      <c r="B39" s="10">
        <v>46089</v>
      </c>
      <c r="C39" s="3" t="s">
        <v>95</v>
      </c>
      <c r="D39" s="3" t="s">
        <v>8</v>
      </c>
      <c r="E39" s="3" t="s">
        <v>25</v>
      </c>
      <c r="F39" s="50"/>
      <c r="G39" s="7">
        <v>28875</v>
      </c>
      <c r="H39" s="2">
        <f>MONTH(Registros[[#This Row],[Fecha]])</f>
        <v>3</v>
      </c>
      <c r="I39" s="2">
        <f>YEAR(Registros[[#This Row],[Fecha]])</f>
        <v>2026</v>
      </c>
      <c r="J39" t="b">
        <f>OR(ISNUMBER(FIND("Sueldo",Registros[[#This Row],[Descripción]])),ISNUMBER(FIND("sueldo",Registros[[#This Row],[Descripción]])))</f>
        <v>0</v>
      </c>
      <c r="K39" t="b">
        <f>OR(ISNUMBER(FIND("Javi",Registros[[#This Row],[Descripción]])),ISNUMBER(FIND("javi",Registros[[#This Row],[Descripción]])))</f>
        <v>0</v>
      </c>
      <c r="P39" s="4"/>
      <c r="T39" s="4"/>
      <c r="U39" s="4"/>
      <c r="W39" s="2"/>
      <c r="X39" s="4"/>
    </row>
    <row r="40" spans="2:24" ht="12.75" x14ac:dyDescent="0.2">
      <c r="B40" s="10">
        <v>46089</v>
      </c>
      <c r="C40" s="3"/>
      <c r="D40" s="3" t="s">
        <v>8</v>
      </c>
      <c r="E40" s="3" t="s">
        <v>9</v>
      </c>
      <c r="F40" s="50"/>
      <c r="G40" s="7">
        <v>7100</v>
      </c>
      <c r="H40" s="2">
        <f>MONTH(Registros[[#This Row],[Fecha]])</f>
        <v>3</v>
      </c>
      <c r="I40" s="2">
        <f>YEAR(Registros[[#This Row],[Fecha]])</f>
        <v>2026</v>
      </c>
      <c r="J40" t="b">
        <f>OR(ISNUMBER(FIND("Sueldo",Registros[[#This Row],[Descripción]])),ISNUMBER(FIND("sueldo",Registros[[#This Row],[Descripción]])))</f>
        <v>0</v>
      </c>
      <c r="K40" t="b">
        <f>OR(ISNUMBER(FIND("Javi",Registros[[#This Row],[Descripción]])),ISNUMBER(FIND("javi",Registros[[#This Row],[Descripción]])))</f>
        <v>0</v>
      </c>
      <c r="P40" s="4"/>
      <c r="T40" s="4"/>
      <c r="U40" s="4"/>
      <c r="W40" s="1"/>
      <c r="X40" s="5"/>
    </row>
    <row r="41" spans="2:24" ht="12.75" x14ac:dyDescent="0.2">
      <c r="B41" s="10">
        <v>46090</v>
      </c>
      <c r="C41" s="3" t="s">
        <v>96</v>
      </c>
      <c r="D41" s="3" t="s">
        <v>8</v>
      </c>
      <c r="E41" s="3" t="s">
        <v>27</v>
      </c>
      <c r="F41" s="50"/>
      <c r="G41" s="7">
        <v>15000</v>
      </c>
      <c r="H41" s="2">
        <f>MONTH(Registros[[#This Row],[Fecha]])</f>
        <v>3</v>
      </c>
      <c r="I41" s="2">
        <f>YEAR(Registros[[#This Row],[Fecha]])</f>
        <v>2026</v>
      </c>
      <c r="J41" t="b">
        <f>OR(ISNUMBER(FIND("Sueldo",Registros[[#This Row],[Descripción]])),ISNUMBER(FIND("sueldo",Registros[[#This Row],[Descripción]])))</f>
        <v>0</v>
      </c>
      <c r="K41" t="b">
        <f>OR(ISNUMBER(FIND("Javi",Registros[[#This Row],[Descripción]])),ISNUMBER(FIND("javi",Registros[[#This Row],[Descripción]])))</f>
        <v>0</v>
      </c>
      <c r="P41" s="4"/>
      <c r="W41" s="2"/>
      <c r="X41" s="4"/>
    </row>
    <row r="42" spans="2:24" ht="12.75" x14ac:dyDescent="0.2">
      <c r="B42" s="10">
        <v>46090</v>
      </c>
      <c r="C42" s="3" t="s">
        <v>97</v>
      </c>
      <c r="D42" s="3" t="s">
        <v>8</v>
      </c>
      <c r="E42" s="3" t="s">
        <v>19</v>
      </c>
      <c r="F42" s="50"/>
      <c r="G42" s="7">
        <v>10500</v>
      </c>
      <c r="H42" s="2">
        <f>MONTH(Registros[[#This Row],[Fecha]])</f>
        <v>3</v>
      </c>
      <c r="I42" s="2">
        <f>YEAR(Registros[[#This Row],[Fecha]])</f>
        <v>2026</v>
      </c>
      <c r="J42" t="b">
        <f>OR(ISNUMBER(FIND("Sueldo",Registros[[#This Row],[Descripción]])),ISNUMBER(FIND("sueldo",Registros[[#This Row],[Descripción]])))</f>
        <v>0</v>
      </c>
      <c r="K42" t="b">
        <f>OR(ISNUMBER(FIND("Javi",Registros[[#This Row],[Descripción]])),ISNUMBER(FIND("javi",Registros[[#This Row],[Descripción]])))</f>
        <v>0</v>
      </c>
      <c r="O42" s="1"/>
      <c r="P42" s="5"/>
      <c r="W42" s="2"/>
      <c r="X42" s="4"/>
    </row>
    <row r="43" spans="2:24" ht="12.75" x14ac:dyDescent="0.2">
      <c r="B43" s="10">
        <v>46091</v>
      </c>
      <c r="C43" s="3" t="s">
        <v>79</v>
      </c>
      <c r="D43" s="3" t="s">
        <v>7</v>
      </c>
      <c r="E43" s="3" t="s">
        <v>59</v>
      </c>
      <c r="F43" s="50"/>
      <c r="G43" s="7">
        <v>64046</v>
      </c>
      <c r="H43" s="2">
        <f>MONTH(Registros[[#This Row],[Fecha]])</f>
        <v>3</v>
      </c>
      <c r="I43" s="2">
        <f>YEAR(Registros[[#This Row],[Fecha]])</f>
        <v>2026</v>
      </c>
      <c r="J43" t="b">
        <f>OR(ISNUMBER(FIND("Sueldo",Registros[[#This Row],[Descripción]])),ISNUMBER(FIND("sueldo",Registros[[#This Row],[Descripción]])))</f>
        <v>0</v>
      </c>
      <c r="K43" t="b">
        <f>OR(ISNUMBER(FIND("Javi",Registros[[#This Row],[Descripción]])),ISNUMBER(FIND("javi",Registros[[#This Row],[Descripción]])))</f>
        <v>0</v>
      </c>
      <c r="W43" s="2"/>
      <c r="X43" s="4"/>
    </row>
    <row r="44" spans="2:24" ht="12.75" x14ac:dyDescent="0.2">
      <c r="B44" s="10">
        <v>46091</v>
      </c>
      <c r="C44" s="3" t="s">
        <v>79</v>
      </c>
      <c r="D44" s="3" t="s">
        <v>7</v>
      </c>
      <c r="E44" s="3" t="s">
        <v>59</v>
      </c>
      <c r="F44" s="50"/>
      <c r="G44" s="7">
        <v>42236</v>
      </c>
      <c r="H44" s="2">
        <f>MONTH(Registros[[#This Row],[Fecha]])</f>
        <v>3</v>
      </c>
      <c r="I44" s="2">
        <f>YEAR(Registros[[#This Row],[Fecha]])</f>
        <v>2026</v>
      </c>
      <c r="J44" t="b">
        <f>OR(ISNUMBER(FIND("Sueldo",Registros[[#This Row],[Descripción]])),ISNUMBER(FIND("sueldo",Registros[[#This Row],[Descripción]])))</f>
        <v>0</v>
      </c>
      <c r="K44" t="b">
        <f>OR(ISNUMBER(FIND("Javi",Registros[[#This Row],[Descripción]])),ISNUMBER(FIND("javi",Registros[[#This Row],[Descripción]])))</f>
        <v>0</v>
      </c>
      <c r="X44" s="4"/>
    </row>
    <row r="45" spans="2:24" ht="12.75" x14ac:dyDescent="0.2">
      <c r="B45" s="10">
        <v>46091</v>
      </c>
      <c r="C45" s="3"/>
      <c r="D45" s="3" t="s">
        <v>8</v>
      </c>
      <c r="E45" s="3"/>
      <c r="F45" s="50"/>
      <c r="G45" s="7">
        <v>2400</v>
      </c>
      <c r="H45" s="2">
        <f>MONTH(Registros[[#This Row],[Fecha]])</f>
        <v>3</v>
      </c>
      <c r="I45" s="2">
        <f>YEAR(Registros[[#This Row],[Fecha]])</f>
        <v>2026</v>
      </c>
      <c r="J45" t="b">
        <f>OR(ISNUMBER(FIND("Sueldo",Registros[[#This Row],[Descripción]])),ISNUMBER(FIND("sueldo",Registros[[#This Row],[Descripción]])))</f>
        <v>0</v>
      </c>
      <c r="K45" t="b">
        <f>OR(ISNUMBER(FIND("Javi",Registros[[#This Row],[Descripción]])),ISNUMBER(FIND("javi",Registros[[#This Row],[Descripción]])))</f>
        <v>0</v>
      </c>
    </row>
    <row r="46" spans="2:24" ht="12.75" x14ac:dyDescent="0.2">
      <c r="B46" s="10">
        <v>46091</v>
      </c>
      <c r="C46" s="3"/>
      <c r="D46" s="3" t="s">
        <v>8</v>
      </c>
      <c r="E46" s="3"/>
      <c r="F46" s="50"/>
      <c r="G46" s="7">
        <v>7800</v>
      </c>
      <c r="H46" s="2">
        <f>MONTH(Registros[[#This Row],[Fecha]])</f>
        <v>3</v>
      </c>
      <c r="I46" s="2">
        <f>YEAR(Registros[[#This Row],[Fecha]])</f>
        <v>2026</v>
      </c>
      <c r="J46" t="b">
        <f>OR(ISNUMBER(FIND("Sueldo",Registros[[#This Row],[Descripción]])),ISNUMBER(FIND("sueldo",Registros[[#This Row],[Descripción]])))</f>
        <v>0</v>
      </c>
      <c r="K46" t="b">
        <f>OR(ISNUMBER(FIND("Javi",Registros[[#This Row],[Descripción]])),ISNUMBER(FIND("javi",Registros[[#This Row],[Descripción]])))</f>
        <v>0</v>
      </c>
    </row>
    <row r="47" spans="2:24" ht="12.75" x14ac:dyDescent="0.2">
      <c r="B47" s="10">
        <v>46091</v>
      </c>
      <c r="C47" s="3"/>
      <c r="D47" s="3" t="s">
        <v>8</v>
      </c>
      <c r="E47" s="3"/>
      <c r="F47" s="50"/>
      <c r="G47" s="7">
        <v>5000</v>
      </c>
      <c r="H47" s="2">
        <f>MONTH(Registros[[#This Row],[Fecha]])</f>
        <v>3</v>
      </c>
      <c r="I47" s="2">
        <f>YEAR(Registros[[#This Row],[Fecha]])</f>
        <v>2026</v>
      </c>
      <c r="J47" t="b">
        <f>OR(ISNUMBER(FIND("Sueldo",Registros[[#This Row],[Descripción]])),ISNUMBER(FIND("sueldo",Registros[[#This Row],[Descripción]])))</f>
        <v>0</v>
      </c>
      <c r="K47" t="b">
        <f>OR(ISNUMBER(FIND("Javi",Registros[[#This Row],[Descripción]])),ISNUMBER(FIND("javi",Registros[[#This Row],[Descripción]])))</f>
        <v>0</v>
      </c>
      <c r="Q47" s="81"/>
    </row>
    <row r="48" spans="2:24" ht="12.75" x14ac:dyDescent="0.2">
      <c r="B48" s="10">
        <v>46091</v>
      </c>
      <c r="C48" s="3"/>
      <c r="D48" s="3" t="s">
        <v>8</v>
      </c>
      <c r="E48" s="3"/>
      <c r="F48" s="50"/>
      <c r="G48" s="7">
        <v>18980</v>
      </c>
      <c r="H48" s="2">
        <f>MONTH(Registros[[#This Row],[Fecha]])</f>
        <v>3</v>
      </c>
      <c r="I48" s="2">
        <f>YEAR(Registros[[#This Row],[Fecha]])</f>
        <v>2026</v>
      </c>
      <c r="J48" s="6" t="b">
        <f>OR(ISNUMBER(FIND("Sueldo",Registros[[#This Row],[Descripción]])),ISNUMBER(FIND("sueldo",Registros[[#This Row],[Descripción]])))</f>
        <v>0</v>
      </c>
      <c r="K48" t="b">
        <f>OR(ISNUMBER(FIND("Javi",Registros[[#This Row],[Descripción]])),ISNUMBER(FIND("javi",Registros[[#This Row],[Descripción]])))</f>
        <v>0</v>
      </c>
    </row>
    <row r="49" spans="2:15" ht="12.75" x14ac:dyDescent="0.2">
      <c r="B49" s="10">
        <v>46092</v>
      </c>
      <c r="C49" s="3" t="s">
        <v>24</v>
      </c>
      <c r="D49" s="3" t="s">
        <v>7</v>
      </c>
      <c r="E49" s="3" t="s">
        <v>12</v>
      </c>
      <c r="F49" s="50"/>
      <c r="G49" s="7">
        <v>10000</v>
      </c>
      <c r="H49" s="2">
        <f>MONTH(Registros[[#This Row],[Fecha]])</f>
        <v>3</v>
      </c>
      <c r="I49" s="2">
        <f>YEAR(Registros[[#This Row],[Fecha]])</f>
        <v>2026</v>
      </c>
      <c r="J49" t="b">
        <f>OR(ISNUMBER(FIND("Sueldo",Registros[[#This Row],[Descripción]])),ISNUMBER(FIND("sueldo",Registros[[#This Row],[Descripción]])))</f>
        <v>0</v>
      </c>
      <c r="K49" t="b">
        <f>OR(ISNUMBER(FIND("Javi",Registros[[#This Row],[Descripción]])),ISNUMBER(FIND("javi",Registros[[#This Row],[Descripción]])))</f>
        <v>0</v>
      </c>
    </row>
    <row r="50" spans="2:15" ht="12.75" x14ac:dyDescent="0.2">
      <c r="B50" s="10">
        <v>46092</v>
      </c>
      <c r="C50" s="3" t="s">
        <v>79</v>
      </c>
      <c r="D50" s="3" t="s">
        <v>7</v>
      </c>
      <c r="E50" s="3" t="s">
        <v>59</v>
      </c>
      <c r="F50" s="50"/>
      <c r="G50" s="7">
        <v>20999</v>
      </c>
      <c r="H50" s="2">
        <f>MONTH(Registros[[#This Row],[Fecha]])</f>
        <v>3</v>
      </c>
      <c r="I50" s="2">
        <f>YEAR(Registros[[#This Row],[Fecha]])</f>
        <v>2026</v>
      </c>
      <c r="J50" t="b">
        <f>OR(ISNUMBER(FIND("Sueldo",Registros[[#This Row],[Descripción]])),ISNUMBER(FIND("sueldo",Registros[[#This Row],[Descripción]])))</f>
        <v>0</v>
      </c>
      <c r="K50" t="b">
        <f>OR(ISNUMBER(FIND("Javi",Registros[[#This Row],[Descripción]])),ISNUMBER(FIND("javi",Registros[[#This Row],[Descripción]])))</f>
        <v>0</v>
      </c>
    </row>
    <row r="51" spans="2:15" ht="12.75" x14ac:dyDescent="0.2">
      <c r="B51" s="10">
        <v>46094</v>
      </c>
      <c r="C51" s="3"/>
      <c r="D51" s="3" t="s">
        <v>8</v>
      </c>
      <c r="E51" s="3"/>
      <c r="F51" s="50"/>
      <c r="G51" s="7">
        <v>10100</v>
      </c>
      <c r="H51" s="2">
        <f>MONTH(Registros[[#This Row],[Fecha]])</f>
        <v>3</v>
      </c>
      <c r="I51" s="2">
        <f>YEAR(Registros[[#This Row],[Fecha]])</f>
        <v>2026</v>
      </c>
      <c r="J51" t="b">
        <f>OR(ISNUMBER(FIND("Sueldo",Registros[[#This Row],[Descripción]])),ISNUMBER(FIND("sueldo",Registros[[#This Row],[Descripción]])))</f>
        <v>0</v>
      </c>
      <c r="K51" t="b">
        <f>OR(ISNUMBER(FIND("Javi",Registros[[#This Row],[Descripción]])),ISNUMBER(FIND("javi",Registros[[#This Row],[Descripción]])))</f>
        <v>0</v>
      </c>
      <c r="L51" s="84"/>
      <c r="M51" s="84"/>
      <c r="N51" s="84"/>
    </row>
    <row r="52" spans="2:15" ht="12.75" x14ac:dyDescent="0.2">
      <c r="B52" s="10">
        <v>46095</v>
      </c>
      <c r="C52" s="3" t="s">
        <v>98</v>
      </c>
      <c r="D52" s="3" t="s">
        <v>8</v>
      </c>
      <c r="E52" s="3" t="s">
        <v>19</v>
      </c>
      <c r="F52" s="50"/>
      <c r="G52" s="7">
        <v>19593</v>
      </c>
      <c r="H52" s="2">
        <f>MONTH(Registros[[#This Row],[Fecha]])</f>
        <v>3</v>
      </c>
      <c r="I52" s="2">
        <f>YEAR(Registros[[#This Row],[Fecha]])</f>
        <v>2026</v>
      </c>
      <c r="J52" s="86" t="b">
        <f>OR(ISNUMBER(FIND("Sueldo",Registros[[#This Row],[Descripción]])),ISNUMBER(FIND("sueldo",Registros[[#This Row],[Descripción]])))</f>
        <v>0</v>
      </c>
      <c r="K52" s="86" t="b">
        <f>OR(ISNUMBER(FIND("Javi",Registros[[#This Row],[Descripción]])),ISNUMBER(FIND("javi",Registros[[#This Row],[Descripción]])))</f>
        <v>0</v>
      </c>
      <c r="N52" s="82"/>
    </row>
    <row r="53" spans="2:15" ht="12.75" x14ac:dyDescent="0.2">
      <c r="B53" s="10">
        <v>46095</v>
      </c>
      <c r="C53" s="3" t="s">
        <v>99</v>
      </c>
      <c r="D53" s="3" t="s">
        <v>8</v>
      </c>
      <c r="E53" s="3"/>
      <c r="F53" s="50"/>
      <c r="G53" s="7">
        <v>50000</v>
      </c>
      <c r="H53" s="2">
        <f>MONTH(Registros[[#This Row],[Fecha]])</f>
        <v>3</v>
      </c>
      <c r="I53" s="2">
        <f>YEAR(Registros[[#This Row],[Fecha]])</f>
        <v>2026</v>
      </c>
      <c r="J53" t="b">
        <f>OR(ISNUMBER(FIND("Sueldo",Registros[[#This Row],[Descripción]])),ISNUMBER(FIND("sueldo",Registros[[#This Row],[Descripción]])))</f>
        <v>0</v>
      </c>
      <c r="K53" t="b">
        <f>OR(ISNUMBER(FIND("Javi",Registros[[#This Row],[Descripción]])),ISNUMBER(FIND("javi",Registros[[#This Row],[Descripción]])))</f>
        <v>0</v>
      </c>
      <c r="O53" s="4"/>
    </row>
    <row r="54" spans="2:15" ht="12.75" x14ac:dyDescent="0.2">
      <c r="B54" s="10">
        <v>46095</v>
      </c>
      <c r="C54" s="3" t="s">
        <v>100</v>
      </c>
      <c r="D54" s="3" t="s">
        <v>8</v>
      </c>
      <c r="E54" s="3" t="s">
        <v>19</v>
      </c>
      <c r="F54" s="50"/>
      <c r="G54" s="7">
        <v>60000</v>
      </c>
      <c r="H54" s="2">
        <f>MONTH(Registros[[#This Row],[Fecha]])</f>
        <v>3</v>
      </c>
      <c r="I54" s="2">
        <f>YEAR(Registros[[#This Row],[Fecha]])</f>
        <v>2026</v>
      </c>
      <c r="J54" t="b">
        <f>OR(ISNUMBER(FIND("Sueldo",Registros[[#This Row],[Descripción]])),ISNUMBER(FIND("sueldo",Registros[[#This Row],[Descripción]])))</f>
        <v>0</v>
      </c>
      <c r="K54" t="b">
        <f>OR(ISNUMBER(FIND("Javi",Registros[[#This Row],[Descripción]])),ISNUMBER(FIND("javi",Registros[[#This Row],[Descripción]])))</f>
        <v>0</v>
      </c>
      <c r="O54" s="4"/>
    </row>
    <row r="55" spans="2:15" ht="12.75" x14ac:dyDescent="0.2">
      <c r="B55" s="10">
        <v>46095</v>
      </c>
      <c r="C55" s="3" t="s">
        <v>101</v>
      </c>
      <c r="D55" s="3" t="s">
        <v>8</v>
      </c>
      <c r="E55" s="3" t="s">
        <v>27</v>
      </c>
      <c r="F55" s="50">
        <v>20000</v>
      </c>
      <c r="G55" s="7"/>
      <c r="H55" s="2">
        <f>MONTH(Registros[[#This Row],[Fecha]])</f>
        <v>3</v>
      </c>
      <c r="I55" s="2">
        <f>YEAR(Registros[[#This Row],[Fecha]])</f>
        <v>2026</v>
      </c>
      <c r="J55" t="b">
        <f>OR(ISNUMBER(FIND("Sueldo",Registros[[#This Row],[Descripción]])),ISNUMBER(FIND("sueldo",Registros[[#This Row],[Descripción]])))</f>
        <v>0</v>
      </c>
      <c r="K55" t="b">
        <f>OR(ISNUMBER(FIND("Javi",Registros[[#This Row],[Descripción]])),ISNUMBER(FIND("javi",Registros[[#This Row],[Descripción]])))</f>
        <v>0</v>
      </c>
      <c r="O55" s="4"/>
    </row>
    <row r="56" spans="2:15" ht="12.75" x14ac:dyDescent="0.2">
      <c r="B56" s="10">
        <v>46095</v>
      </c>
      <c r="C56" s="3" t="s">
        <v>100</v>
      </c>
      <c r="D56" s="3" t="s">
        <v>8</v>
      </c>
      <c r="E56" s="3" t="s">
        <v>19</v>
      </c>
      <c r="F56" s="50"/>
      <c r="G56" s="7">
        <v>30925</v>
      </c>
      <c r="H56" s="2">
        <f>MONTH(Registros[[#This Row],[Fecha]])</f>
        <v>3</v>
      </c>
      <c r="I56" s="2">
        <f>YEAR(Registros[[#This Row],[Fecha]])</f>
        <v>2026</v>
      </c>
      <c r="J56" t="b">
        <f>OR(ISNUMBER(FIND("Sueldo",Registros[[#This Row],[Descripción]])),ISNUMBER(FIND("sueldo",Registros[[#This Row],[Descripción]])))</f>
        <v>0</v>
      </c>
      <c r="K56" t="b">
        <f>OR(ISNUMBER(FIND("Javi",Registros[[#This Row],[Descripción]])),ISNUMBER(FIND("javi",Registros[[#This Row],[Descripción]])))</f>
        <v>0</v>
      </c>
      <c r="O56" s="4"/>
    </row>
    <row r="57" spans="2:15" ht="12.75" x14ac:dyDescent="0.2">
      <c r="B57" s="10">
        <v>46095</v>
      </c>
      <c r="C57" s="3" t="s">
        <v>102</v>
      </c>
      <c r="D57" s="3" t="s">
        <v>8</v>
      </c>
      <c r="E57" s="3" t="s">
        <v>27</v>
      </c>
      <c r="F57" s="50"/>
      <c r="G57" s="7">
        <v>99600</v>
      </c>
      <c r="H57" s="2">
        <f>MONTH(Registros[[#This Row],[Fecha]])</f>
        <v>3</v>
      </c>
      <c r="I57" s="2">
        <f>YEAR(Registros[[#This Row],[Fecha]])</f>
        <v>2026</v>
      </c>
      <c r="J57" t="b">
        <f>OR(ISNUMBER(FIND("Sueldo",Registros[[#This Row],[Descripción]])),ISNUMBER(FIND("sueldo",Registros[[#This Row],[Descripción]])))</f>
        <v>0</v>
      </c>
      <c r="K57" t="b">
        <f>OR(ISNUMBER(FIND("Javi",Registros[[#This Row],[Descripción]])),ISNUMBER(FIND("javi",Registros[[#This Row],[Descripción]])))</f>
        <v>0</v>
      </c>
      <c r="N57" s="1"/>
      <c r="O57" s="5"/>
    </row>
    <row r="58" spans="2:15" ht="12.75" x14ac:dyDescent="0.2">
      <c r="B58" s="10">
        <v>46096</v>
      </c>
      <c r="C58" s="3" t="s">
        <v>103</v>
      </c>
      <c r="D58" s="3" t="s">
        <v>8</v>
      </c>
      <c r="E58" s="3" t="s">
        <v>27</v>
      </c>
      <c r="F58" s="50"/>
      <c r="G58" s="7">
        <v>50780</v>
      </c>
      <c r="H58" s="2">
        <f>MONTH(Registros[[#This Row],[Fecha]])</f>
        <v>3</v>
      </c>
      <c r="I58" s="2">
        <f>YEAR(Registros[[#This Row],[Fecha]])</f>
        <v>2026</v>
      </c>
      <c r="J58" t="b">
        <f>OR(ISNUMBER(FIND("Sueldo",Registros[[#This Row],[Descripción]])),ISNUMBER(FIND("sueldo",Registros[[#This Row],[Descripción]])))</f>
        <v>0</v>
      </c>
      <c r="K58" t="b">
        <f>OR(ISNUMBER(FIND("Javi",Registros[[#This Row],[Descripción]])),ISNUMBER(FIND("javi",Registros[[#This Row],[Descripción]])))</f>
        <v>0</v>
      </c>
    </row>
    <row r="59" spans="2:15" ht="12.75" x14ac:dyDescent="0.2">
      <c r="B59" s="10">
        <v>46097</v>
      </c>
      <c r="C59" s="3" t="s">
        <v>104</v>
      </c>
      <c r="D59" s="3" t="s">
        <v>8</v>
      </c>
      <c r="E59" s="3" t="s">
        <v>9</v>
      </c>
      <c r="F59" s="50"/>
      <c r="G59" s="7">
        <v>20020</v>
      </c>
      <c r="H59" s="2">
        <f>MONTH(Registros[[#This Row],[Fecha]])</f>
        <v>3</v>
      </c>
      <c r="I59" s="2">
        <f>YEAR(Registros[[#This Row],[Fecha]])</f>
        <v>2026</v>
      </c>
      <c r="J59" t="b">
        <f>OR(ISNUMBER(FIND("Sueldo",Registros[[#This Row],[Descripción]])),ISNUMBER(FIND("sueldo",Registros[[#This Row],[Descripción]])))</f>
        <v>0</v>
      </c>
      <c r="K59" t="b">
        <f>OR(ISNUMBER(FIND("Javi",Registros[[#This Row],[Descripción]])),ISNUMBER(FIND("javi",Registros[[#This Row],[Descripción]])))</f>
        <v>0</v>
      </c>
    </row>
    <row r="60" spans="2:15" ht="12.75" x14ac:dyDescent="0.2">
      <c r="B60" s="10">
        <v>46098</v>
      </c>
      <c r="C60" s="3" t="s">
        <v>105</v>
      </c>
      <c r="D60" s="3" t="s">
        <v>8</v>
      </c>
      <c r="E60" s="3" t="s">
        <v>27</v>
      </c>
      <c r="F60" s="50">
        <v>29920</v>
      </c>
      <c r="G60" s="7"/>
      <c r="H60" s="2">
        <f>MONTH(Registros[[#This Row],[Fecha]])</f>
        <v>3</v>
      </c>
      <c r="I60" s="2">
        <f>YEAR(Registros[[#This Row],[Fecha]])</f>
        <v>2026</v>
      </c>
      <c r="J60" t="b">
        <f>OR(ISNUMBER(FIND("Sueldo",Registros[[#This Row],[Descripción]])),ISNUMBER(FIND("sueldo",Registros[[#This Row],[Descripción]])))</f>
        <v>0</v>
      </c>
      <c r="K60" t="b">
        <f>OR(ISNUMBER(FIND("Javi",Registros[[#This Row],[Descripción]])),ISNUMBER(FIND("javi",Registros[[#This Row],[Descripción]])))</f>
        <v>0</v>
      </c>
      <c r="L60" s="4"/>
    </row>
    <row r="61" spans="2:15" ht="12.75" x14ac:dyDescent="0.2">
      <c r="B61" s="10">
        <v>46098</v>
      </c>
      <c r="C61" s="3" t="s">
        <v>106</v>
      </c>
      <c r="D61" s="3" t="s">
        <v>8</v>
      </c>
      <c r="E61" s="3" t="s">
        <v>27</v>
      </c>
      <c r="F61" s="50"/>
      <c r="G61" s="7">
        <v>72000</v>
      </c>
      <c r="H61" s="2">
        <f>MONTH(Registros[[#This Row],[Fecha]])</f>
        <v>3</v>
      </c>
      <c r="I61" s="2">
        <f>YEAR(Registros[[#This Row],[Fecha]])</f>
        <v>2026</v>
      </c>
      <c r="J61" t="b">
        <f>OR(ISNUMBER(FIND("Sueldo",Registros[[#This Row],[Descripción]])),ISNUMBER(FIND("sueldo",Registros[[#This Row],[Descripción]])))</f>
        <v>0</v>
      </c>
      <c r="K61" t="b">
        <f>OR(ISNUMBER(FIND("Javi",Registros[[#This Row],[Descripción]])),ISNUMBER(FIND("javi",Registros[[#This Row],[Descripción]])))</f>
        <v>0</v>
      </c>
    </row>
    <row r="62" spans="2:15" ht="12.75" x14ac:dyDescent="0.2">
      <c r="B62" s="10">
        <v>46098</v>
      </c>
      <c r="C62" s="3" t="s">
        <v>107</v>
      </c>
      <c r="D62" s="3" t="s">
        <v>8</v>
      </c>
      <c r="E62" s="3" t="s">
        <v>25</v>
      </c>
      <c r="F62" s="50"/>
      <c r="G62" s="7">
        <v>100000</v>
      </c>
      <c r="H62" s="2">
        <f>MONTH(Registros[[#This Row],[Fecha]])</f>
        <v>3</v>
      </c>
      <c r="I62" s="2">
        <f>YEAR(Registros[[#This Row],[Fecha]])</f>
        <v>2026</v>
      </c>
      <c r="J62" t="b">
        <f>OR(ISNUMBER(FIND("Sueldo",Registros[[#This Row],[Descripción]])),ISNUMBER(FIND("sueldo",Registros[[#This Row],[Descripción]])))</f>
        <v>0</v>
      </c>
      <c r="K62" t="b">
        <f>OR(ISNUMBER(FIND("Javi",Registros[[#This Row],[Descripción]])),ISNUMBER(FIND("javi",Registros[[#This Row],[Descripción]])))</f>
        <v>0</v>
      </c>
    </row>
    <row r="63" spans="2:15" ht="12.75" x14ac:dyDescent="0.2">
      <c r="B63" s="10">
        <v>46098</v>
      </c>
      <c r="C63" s="3" t="s">
        <v>108</v>
      </c>
      <c r="D63" s="3" t="s">
        <v>8</v>
      </c>
      <c r="E63" s="3" t="s">
        <v>9</v>
      </c>
      <c r="F63" s="50"/>
      <c r="G63" s="7">
        <v>19250</v>
      </c>
      <c r="H63" s="2">
        <f>MONTH(Registros[[#This Row],[Fecha]])</f>
        <v>3</v>
      </c>
      <c r="I63" s="2">
        <f>YEAR(Registros[[#This Row],[Fecha]])</f>
        <v>2026</v>
      </c>
      <c r="J63" t="b">
        <f>OR(ISNUMBER(FIND("Sueldo",Registros[[#This Row],[Descripción]])),ISNUMBER(FIND("sueldo",Registros[[#This Row],[Descripción]])))</f>
        <v>0</v>
      </c>
      <c r="K63" t="b">
        <f>OR(ISNUMBER(FIND("Javi",Registros[[#This Row],[Descripción]])),ISNUMBER(FIND("javi",Registros[[#This Row],[Descripción]])))</f>
        <v>0</v>
      </c>
    </row>
    <row r="64" spans="2:15" ht="12.75" x14ac:dyDescent="0.2">
      <c r="B64" s="10">
        <v>46099</v>
      </c>
      <c r="C64" s="3" t="s">
        <v>109</v>
      </c>
      <c r="D64" s="3" t="s">
        <v>8</v>
      </c>
      <c r="E64" s="3" t="s">
        <v>9</v>
      </c>
      <c r="F64" s="50"/>
      <c r="G64" s="7">
        <v>72325</v>
      </c>
      <c r="H64" s="2">
        <f>MONTH(Registros[[#This Row],[Fecha]])</f>
        <v>3</v>
      </c>
      <c r="I64" s="2">
        <f>YEAR(Registros[[#This Row],[Fecha]])</f>
        <v>2026</v>
      </c>
      <c r="J64" t="b">
        <f>OR(ISNUMBER(FIND("Sueldo",Registros[[#This Row],[Descripción]])),ISNUMBER(FIND("sueldo",Registros[[#This Row],[Descripción]])))</f>
        <v>0</v>
      </c>
      <c r="K64" t="b">
        <f>OR(ISNUMBER(FIND("Javi",Registros[[#This Row],[Descripción]])),ISNUMBER(FIND("javi",Registros[[#This Row],[Descripción]])))</f>
        <v>0</v>
      </c>
    </row>
    <row r="65" spans="2:14" ht="12.75" x14ac:dyDescent="0.2">
      <c r="B65" s="10">
        <v>46100</v>
      </c>
      <c r="C65" s="3" t="s">
        <v>110</v>
      </c>
      <c r="D65" s="3" t="s">
        <v>8</v>
      </c>
      <c r="E65" s="3" t="s">
        <v>15</v>
      </c>
      <c r="F65" s="50">
        <v>164834</v>
      </c>
      <c r="G65" s="7"/>
      <c r="H65" s="2">
        <f>MONTH(Registros[[#This Row],[Fecha]])</f>
        <v>3</v>
      </c>
      <c r="I65" s="2">
        <f>YEAR(Registros[[#This Row],[Fecha]])</f>
        <v>2026</v>
      </c>
      <c r="J65" t="b">
        <f>OR(ISNUMBER(FIND("Sueldo",Registros[[#This Row],[Descripción]])),ISNUMBER(FIND("sueldo",Registros[[#This Row],[Descripción]])))</f>
        <v>0</v>
      </c>
      <c r="K65" t="b">
        <f>OR(ISNUMBER(FIND("Javi",Registros[[#This Row],[Descripción]])),ISNUMBER(FIND("javi",Registros[[#This Row],[Descripción]])))</f>
        <v>0</v>
      </c>
    </row>
    <row r="66" spans="2:14" ht="12.75" x14ac:dyDescent="0.2">
      <c r="B66" s="10">
        <v>46100</v>
      </c>
      <c r="C66" s="3"/>
      <c r="D66" s="3" t="s">
        <v>8</v>
      </c>
      <c r="E66" s="3"/>
      <c r="F66" s="50"/>
      <c r="G66" s="7">
        <v>1107</v>
      </c>
      <c r="H66" s="2">
        <f>MONTH(Registros[[#This Row],[Fecha]])</f>
        <v>3</v>
      </c>
      <c r="I66" s="2">
        <f>YEAR(Registros[[#This Row],[Fecha]])</f>
        <v>2026</v>
      </c>
      <c r="J66" t="b">
        <f>OR(ISNUMBER(FIND("Sueldo",Registros[[#This Row],[Descripción]])),ISNUMBER(FIND("sueldo",Registros[[#This Row],[Descripción]])))</f>
        <v>0</v>
      </c>
      <c r="K66" t="b">
        <f>OR(ISNUMBER(FIND("Javi",Registros[[#This Row],[Descripción]])),ISNUMBER(FIND("javi",Registros[[#This Row],[Descripción]])))</f>
        <v>0</v>
      </c>
    </row>
    <row r="67" spans="2:14" ht="12.75" x14ac:dyDescent="0.2">
      <c r="B67" s="10">
        <v>46100</v>
      </c>
      <c r="C67" s="3" t="s">
        <v>112</v>
      </c>
      <c r="D67" s="3" t="s">
        <v>7</v>
      </c>
      <c r="E67" s="3" t="s">
        <v>59</v>
      </c>
      <c r="F67" s="50"/>
      <c r="G67" s="7">
        <v>6900</v>
      </c>
      <c r="H67" s="2">
        <f>MONTH(Registros[[#This Row],[Fecha]])</f>
        <v>3</v>
      </c>
      <c r="I67" s="2">
        <f>YEAR(Registros[[#This Row],[Fecha]])</f>
        <v>2026</v>
      </c>
      <c r="J67" t="b">
        <f>OR(ISNUMBER(FIND("Sueldo",Registros[[#This Row],[Descripción]])),ISNUMBER(FIND("sueldo",Registros[[#This Row],[Descripción]])))</f>
        <v>0</v>
      </c>
      <c r="K67" t="b">
        <f>OR(ISNUMBER(FIND("Javi",Registros[[#This Row],[Descripción]])),ISNUMBER(FIND("javi",Registros[[#This Row],[Descripción]])))</f>
        <v>0</v>
      </c>
    </row>
    <row r="68" spans="2:14" ht="12.75" x14ac:dyDescent="0.2">
      <c r="B68" s="10">
        <v>46101</v>
      </c>
      <c r="C68" s="3" t="s">
        <v>113</v>
      </c>
      <c r="D68" s="3" t="s">
        <v>8</v>
      </c>
      <c r="E68" s="3" t="s">
        <v>9</v>
      </c>
      <c r="F68" s="50"/>
      <c r="G68" s="7">
        <v>35000</v>
      </c>
      <c r="H68" s="2">
        <f>MONTH(Registros[[#This Row],[Fecha]])</f>
        <v>3</v>
      </c>
      <c r="I68" s="2">
        <f>YEAR(Registros[[#This Row],[Fecha]])</f>
        <v>2026</v>
      </c>
      <c r="J68" t="b">
        <f>OR(ISNUMBER(FIND("Sueldo",Registros[[#This Row],[Descripción]])),ISNUMBER(FIND("sueldo",Registros[[#This Row],[Descripción]])))</f>
        <v>0</v>
      </c>
      <c r="K68" t="b">
        <f>OR(ISNUMBER(FIND("Javi",Registros[[#This Row],[Descripción]])),ISNUMBER(FIND("javi",Registros[[#This Row],[Descripción]])))</f>
        <v>0</v>
      </c>
    </row>
    <row r="69" spans="2:14" ht="12.75" x14ac:dyDescent="0.2">
      <c r="B69" s="10">
        <v>46102</v>
      </c>
      <c r="C69" s="3" t="s">
        <v>114</v>
      </c>
      <c r="D69" s="3" t="s">
        <v>8</v>
      </c>
      <c r="E69" s="3" t="s">
        <v>22</v>
      </c>
      <c r="F69" s="50"/>
      <c r="G69" s="7">
        <v>23000</v>
      </c>
      <c r="H69" s="2">
        <f>MONTH(Registros[[#This Row],[Fecha]])</f>
        <v>3</v>
      </c>
      <c r="I69" s="2">
        <f>YEAR(Registros[[#This Row],[Fecha]])</f>
        <v>2026</v>
      </c>
      <c r="J69" t="b">
        <f>OR(ISNUMBER(FIND("Sueldo",Registros[[#This Row],[Descripción]])),ISNUMBER(FIND("sueldo",Registros[[#This Row],[Descripción]])))</f>
        <v>0</v>
      </c>
      <c r="K69" t="b">
        <f>OR(ISNUMBER(FIND("Javi",Registros[[#This Row],[Descripción]])),ISNUMBER(FIND("javi",Registros[[#This Row],[Descripción]])))</f>
        <v>0</v>
      </c>
    </row>
    <row r="70" spans="2:14" ht="12.75" x14ac:dyDescent="0.2">
      <c r="B70" s="10">
        <v>46102</v>
      </c>
      <c r="C70" s="3" t="s">
        <v>115</v>
      </c>
      <c r="D70" s="3" t="s">
        <v>8</v>
      </c>
      <c r="E70" s="3"/>
      <c r="F70" s="50"/>
      <c r="G70" s="7">
        <v>15600</v>
      </c>
      <c r="H70" s="2">
        <f>MONTH(Registros[[#This Row],[Fecha]])</f>
        <v>3</v>
      </c>
      <c r="I70" s="2">
        <f>YEAR(Registros[[#This Row],[Fecha]])</f>
        <v>2026</v>
      </c>
      <c r="J70" t="b">
        <f>OR(ISNUMBER(FIND("Sueldo",Registros[[#This Row],[Descripción]])),ISNUMBER(FIND("sueldo",Registros[[#This Row],[Descripción]])))</f>
        <v>0</v>
      </c>
      <c r="K70" t="b">
        <f>OR(ISNUMBER(FIND("Javi",Registros[[#This Row],[Descripción]])),ISNUMBER(FIND("javi",Registros[[#This Row],[Descripción]])))</f>
        <v>0</v>
      </c>
      <c r="N70" s="4"/>
    </row>
    <row r="71" spans="2:14" ht="12.75" x14ac:dyDescent="0.2">
      <c r="B71" s="10">
        <v>46103</v>
      </c>
      <c r="C71" s="3" t="s">
        <v>100</v>
      </c>
      <c r="D71" s="3" t="s">
        <v>8</v>
      </c>
      <c r="E71" s="3" t="s">
        <v>19</v>
      </c>
      <c r="F71" s="50"/>
      <c r="G71" s="7">
        <v>60000</v>
      </c>
      <c r="H71" s="2">
        <f>MONTH(Registros[[#This Row],[Fecha]])</f>
        <v>3</v>
      </c>
      <c r="I71" s="2">
        <f>YEAR(Registros[[#This Row],[Fecha]])</f>
        <v>2026</v>
      </c>
      <c r="J71" t="b">
        <f>OR(ISNUMBER(FIND("Sueldo",Registros[[#This Row],[Descripción]])),ISNUMBER(FIND("sueldo",Registros[[#This Row],[Descripción]])))</f>
        <v>0</v>
      </c>
      <c r="K71" t="b">
        <f>OR(ISNUMBER(FIND("Javi",Registros[[#This Row],[Descripción]])),ISNUMBER(FIND("javi",Registros[[#This Row],[Descripción]])))</f>
        <v>0</v>
      </c>
      <c r="N71" s="4">
        <f>SUM(G52:G72)-G57</f>
        <v>651500</v>
      </c>
    </row>
    <row r="72" spans="2:14" ht="12.75" x14ac:dyDescent="0.2">
      <c r="B72" s="10">
        <v>46103</v>
      </c>
      <c r="C72" s="3" t="s">
        <v>116</v>
      </c>
      <c r="D72" s="3" t="s">
        <v>8</v>
      </c>
      <c r="E72" s="3" t="s">
        <v>19</v>
      </c>
      <c r="F72" s="50"/>
      <c r="G72" s="7">
        <v>15000</v>
      </c>
      <c r="H72" s="2">
        <f>MONTH(Registros[[#This Row],[Fecha]])</f>
        <v>3</v>
      </c>
      <c r="I72" s="2">
        <f>YEAR(Registros[[#This Row],[Fecha]])</f>
        <v>2026</v>
      </c>
      <c r="J72" s="84" t="b">
        <f>OR(ISNUMBER(FIND("Sueldo",Registros[[#This Row],[Descripción]])),ISNUMBER(FIND("sueldo",Registros[[#This Row],[Descripción]])))</f>
        <v>0</v>
      </c>
      <c r="K72" s="85" t="b">
        <f>OR(ISNUMBER(FIND("Javi",Registros[[#This Row],[Descripción]])),ISNUMBER(FIND("javi",Registros[[#This Row],[Descripción]])))</f>
        <v>0</v>
      </c>
      <c r="L72" s="84"/>
      <c r="M72" s="84"/>
      <c r="N72" s="87"/>
    </row>
    <row r="73" spans="2:14" ht="12.75" x14ac:dyDescent="0.2">
      <c r="B73" s="10">
        <v>46104</v>
      </c>
      <c r="C73" s="3" t="s">
        <v>117</v>
      </c>
      <c r="D73" s="3" t="s">
        <v>7</v>
      </c>
      <c r="E73" s="3" t="s">
        <v>11</v>
      </c>
      <c r="F73" s="50"/>
      <c r="G73" s="7">
        <v>117369</v>
      </c>
      <c r="H73" s="2">
        <f>MONTH(Registros[[#This Row],[Fecha]])</f>
        <v>3</v>
      </c>
      <c r="I73" s="2">
        <f>YEAR(Registros[[#This Row],[Fecha]])</f>
        <v>2026</v>
      </c>
      <c r="J73" t="b">
        <f>OR(ISNUMBER(FIND("Sueldo",Registros[[#This Row],[Descripción]])),ISNUMBER(FIND("sueldo",Registros[[#This Row],[Descripción]])))</f>
        <v>0</v>
      </c>
      <c r="K73" t="b">
        <f>OR(ISNUMBER(FIND("Javi",Registros[[#This Row],[Descripción]])),ISNUMBER(FIND("javi",Registros[[#This Row],[Descripción]])))</f>
        <v>0</v>
      </c>
      <c r="N73" s="4"/>
    </row>
    <row r="74" spans="2:14" ht="12.75" x14ac:dyDescent="0.2">
      <c r="B74" s="10">
        <v>46106</v>
      </c>
      <c r="C74" s="3" t="s">
        <v>82</v>
      </c>
      <c r="D74" s="3" t="s">
        <v>7</v>
      </c>
      <c r="E74" s="3" t="s">
        <v>12</v>
      </c>
      <c r="F74" s="50"/>
      <c r="G74" s="7">
        <v>10000</v>
      </c>
      <c r="H74" s="2">
        <f>MONTH(Registros[[#This Row],[Fecha]])</f>
        <v>3</v>
      </c>
      <c r="I74" s="2">
        <f>YEAR(Registros[[#This Row],[Fecha]])</f>
        <v>2026</v>
      </c>
      <c r="J74" t="b">
        <f>OR(ISNUMBER(FIND("Sueldo",Registros[[#This Row],[Descripción]])),ISNUMBER(FIND("sueldo",Registros[[#This Row],[Descripción]])))</f>
        <v>0</v>
      </c>
      <c r="K74" t="b">
        <f>OR(ISNUMBER(FIND("Javi",Registros[[#This Row],[Descripción]])),ISNUMBER(FIND("javi",Registros[[#This Row],[Descripción]])))</f>
        <v>0</v>
      </c>
      <c r="N74" s="4"/>
    </row>
    <row r="75" spans="2:14" ht="12.75" x14ac:dyDescent="0.2">
      <c r="B75" s="10">
        <v>46107</v>
      </c>
      <c r="C75" s="3" t="s">
        <v>118</v>
      </c>
      <c r="D75" s="3" t="s">
        <v>8</v>
      </c>
      <c r="E75" s="3" t="s">
        <v>23</v>
      </c>
      <c r="F75" s="50">
        <v>60000</v>
      </c>
      <c r="G75" s="7"/>
      <c r="H75" s="2">
        <f>MONTH(Registros[[#This Row],[Fecha]])</f>
        <v>3</v>
      </c>
      <c r="I75" s="2">
        <f>YEAR(Registros[[#This Row],[Fecha]])</f>
        <v>2026</v>
      </c>
      <c r="J75" t="b">
        <f>OR(ISNUMBER(FIND("Sueldo",Registros[[#This Row],[Descripción]])),ISNUMBER(FIND("sueldo",Registros[[#This Row],[Descripción]])))</f>
        <v>0</v>
      </c>
      <c r="K75" t="b">
        <f>OR(ISNUMBER(FIND("Javi",Registros[[#This Row],[Descripción]])),ISNUMBER(FIND("javi",Registros[[#This Row],[Descripción]])))</f>
        <v>0</v>
      </c>
      <c r="N75" s="4"/>
    </row>
    <row r="76" spans="2:14" ht="12.75" x14ac:dyDescent="0.2">
      <c r="B76" s="10">
        <v>46107</v>
      </c>
      <c r="C76" s="3" t="s">
        <v>119</v>
      </c>
      <c r="D76" s="3" t="s">
        <v>8</v>
      </c>
      <c r="E76" s="3" t="s">
        <v>22</v>
      </c>
      <c r="F76" s="50"/>
      <c r="G76" s="7">
        <v>49450</v>
      </c>
      <c r="H76" s="2">
        <f>MONTH(Registros[[#This Row],[Fecha]])</f>
        <v>3</v>
      </c>
      <c r="I76" s="2">
        <f>YEAR(Registros[[#This Row],[Fecha]])</f>
        <v>2026</v>
      </c>
      <c r="J76" t="b">
        <f>OR(ISNUMBER(FIND("Sueldo",Registros[[#This Row],[Descripción]])),ISNUMBER(FIND("sueldo",Registros[[#This Row],[Descripción]])))</f>
        <v>0</v>
      </c>
      <c r="K76" t="b">
        <f>OR(ISNUMBER(FIND("Javi",Registros[[#This Row],[Descripción]])),ISNUMBER(FIND("javi",Registros[[#This Row],[Descripción]])))</f>
        <v>0</v>
      </c>
    </row>
    <row r="77" spans="2:14" ht="12.75" x14ac:dyDescent="0.2">
      <c r="B77" s="10">
        <v>46107</v>
      </c>
      <c r="C77" s="3" t="s">
        <v>120</v>
      </c>
      <c r="D77" s="3" t="s">
        <v>8</v>
      </c>
      <c r="E77" s="3" t="s">
        <v>19</v>
      </c>
      <c r="F77" s="50"/>
      <c r="G77" s="7">
        <v>350</v>
      </c>
      <c r="H77" s="2">
        <f>MONTH(Registros[[#This Row],[Fecha]])</f>
        <v>3</v>
      </c>
      <c r="I77" s="2">
        <f>YEAR(Registros[[#This Row],[Fecha]])</f>
        <v>2026</v>
      </c>
      <c r="J77" t="b">
        <f>OR(ISNUMBER(FIND("Sueldo",Registros[[#This Row],[Descripción]])),ISNUMBER(FIND("sueldo",Registros[[#This Row],[Descripción]])))</f>
        <v>0</v>
      </c>
      <c r="K77" t="b">
        <f>OR(ISNUMBER(FIND("Javi",Registros[[#This Row],[Descripción]])),ISNUMBER(FIND("javi",Registros[[#This Row],[Descripción]])))</f>
        <v>0</v>
      </c>
    </row>
    <row r="78" spans="2:14" ht="12.75" x14ac:dyDescent="0.2">
      <c r="B78" s="10">
        <v>46108</v>
      </c>
      <c r="C78" s="3" t="s">
        <v>79</v>
      </c>
      <c r="D78" s="3" t="s">
        <v>7</v>
      </c>
      <c r="E78" s="3" t="s">
        <v>59</v>
      </c>
      <c r="F78" s="50"/>
      <c r="G78" s="7">
        <v>11680</v>
      </c>
      <c r="H78" s="2">
        <f>MONTH(Registros[[#This Row],[Fecha]])</f>
        <v>3</v>
      </c>
      <c r="I78" s="2">
        <f>YEAR(Registros[[#This Row],[Fecha]])</f>
        <v>2026</v>
      </c>
      <c r="J78" t="b">
        <f>OR(ISNUMBER(FIND("Sueldo",Registros[[#This Row],[Descripción]])),ISNUMBER(FIND("sueldo",Registros[[#This Row],[Descripción]])))</f>
        <v>0</v>
      </c>
      <c r="K78" t="b">
        <f>OR(ISNUMBER(FIND("Javi",Registros[[#This Row],[Descripción]])),ISNUMBER(FIND("javi",Registros[[#This Row],[Descripción]])))</f>
        <v>0</v>
      </c>
    </row>
    <row r="79" spans="2:14" ht="12.75" x14ac:dyDescent="0.2">
      <c r="B79" s="10">
        <v>46113</v>
      </c>
      <c r="C79" s="3" t="s">
        <v>121</v>
      </c>
      <c r="D79" s="3" t="s">
        <v>7</v>
      </c>
      <c r="E79" s="3"/>
      <c r="F79" s="50">
        <v>1795336</v>
      </c>
      <c r="G79" s="7"/>
      <c r="H79" s="2">
        <f>MONTH(Registros[[#This Row],[Fecha]])</f>
        <v>4</v>
      </c>
      <c r="I79" s="2">
        <f>YEAR(Registros[[#This Row],[Fecha]])</f>
        <v>2026</v>
      </c>
      <c r="J79" t="b">
        <f>OR(ISNUMBER(FIND("Sueldo",Registros[[#This Row],[Descripción]])),ISNUMBER(FIND("sueldo",Registros[[#This Row],[Descripción]])))</f>
        <v>1</v>
      </c>
      <c r="K79" t="b">
        <f>OR(ISNUMBER(FIND("Javi",Registros[[#This Row],[Descripción]])),ISNUMBER(FIND("javi",Registros[[#This Row],[Descripción]])))</f>
        <v>0</v>
      </c>
    </row>
    <row r="80" spans="2:14" ht="12.75" x14ac:dyDescent="0.2">
      <c r="B80" s="10">
        <v>46113</v>
      </c>
      <c r="C80" s="3"/>
      <c r="D80" s="3" t="s">
        <v>8</v>
      </c>
      <c r="E80" s="3"/>
      <c r="F80" s="50"/>
      <c r="G80" s="7">
        <v>5000</v>
      </c>
      <c r="H80" s="2">
        <f>MONTH(Registros[[#This Row],[Fecha]])</f>
        <v>4</v>
      </c>
      <c r="I80" s="2">
        <f>YEAR(Registros[[#This Row],[Fecha]])</f>
        <v>2026</v>
      </c>
      <c r="J80" t="b">
        <f>OR(ISNUMBER(FIND("Sueldo",Registros[[#This Row],[Descripción]])),ISNUMBER(FIND("sueldo",Registros[[#This Row],[Descripción]])))</f>
        <v>0</v>
      </c>
      <c r="K80" t="b">
        <f>OR(ISNUMBER(FIND("Javi",Registros[[#This Row],[Descripción]])),ISNUMBER(FIND("javi",Registros[[#This Row],[Descripción]])))</f>
        <v>0</v>
      </c>
    </row>
    <row r="81" spans="2:11" ht="12.75" x14ac:dyDescent="0.2">
      <c r="B81" s="10">
        <v>46113</v>
      </c>
      <c r="C81" s="3" t="s">
        <v>122</v>
      </c>
      <c r="D81" s="3" t="s">
        <v>8</v>
      </c>
      <c r="E81" s="3" t="s">
        <v>25</v>
      </c>
      <c r="F81" s="50"/>
      <c r="G81" s="7">
        <v>30000</v>
      </c>
      <c r="H81" s="2">
        <f>MONTH(Registros[[#This Row],[Fecha]])</f>
        <v>4</v>
      </c>
      <c r="I81" s="2">
        <f>YEAR(Registros[[#This Row],[Fecha]])</f>
        <v>2026</v>
      </c>
      <c r="J81" t="b">
        <f>OR(ISNUMBER(FIND("Sueldo",Registros[[#This Row],[Descripción]])),ISNUMBER(FIND("sueldo",Registros[[#This Row],[Descripción]])))</f>
        <v>0</v>
      </c>
      <c r="K81" t="b">
        <f>OR(ISNUMBER(FIND("Javi",Registros[[#This Row],[Descripción]])),ISNUMBER(FIND("javi",Registros[[#This Row],[Descripción]])))</f>
        <v>0</v>
      </c>
    </row>
    <row r="82" spans="2:11" ht="12.75" x14ac:dyDescent="0.2">
      <c r="B82" s="10">
        <v>46113</v>
      </c>
      <c r="C82" s="3" t="s">
        <v>123</v>
      </c>
      <c r="D82" s="3" t="s">
        <v>8</v>
      </c>
      <c r="E82" s="3" t="s">
        <v>9</v>
      </c>
      <c r="F82" s="50">
        <v>15533</v>
      </c>
      <c r="G82" s="7"/>
      <c r="H82" s="2">
        <f>MONTH(Registros[[#This Row],[Fecha]])</f>
        <v>4</v>
      </c>
      <c r="I82" s="2">
        <f>YEAR(Registros[[#This Row],[Fecha]])</f>
        <v>2026</v>
      </c>
      <c r="J82" t="b">
        <f>OR(ISNUMBER(FIND("Sueldo",Registros[[#This Row],[Descripción]])),ISNUMBER(FIND("sueldo",Registros[[#This Row],[Descripción]])))</f>
        <v>0</v>
      </c>
      <c r="K82" t="b">
        <f>OR(ISNUMBER(FIND("Javi",Registros[[#This Row],[Descripción]])),ISNUMBER(FIND("javi",Registros[[#This Row],[Descripción]])))</f>
        <v>0</v>
      </c>
    </row>
    <row r="83" spans="2:11" ht="12.75" x14ac:dyDescent="0.2">
      <c r="B83" s="10">
        <v>46113</v>
      </c>
      <c r="C83" s="3" t="s">
        <v>124</v>
      </c>
      <c r="D83" s="3" t="s">
        <v>7</v>
      </c>
      <c r="E83" s="3" t="s">
        <v>26</v>
      </c>
      <c r="F83" s="50"/>
      <c r="G83" s="7">
        <v>36033</v>
      </c>
      <c r="H83" s="2">
        <f>MONTH(Registros[[#This Row],[Fecha]])</f>
        <v>4</v>
      </c>
      <c r="I83" s="2">
        <f>YEAR(Registros[[#This Row],[Fecha]])</f>
        <v>2026</v>
      </c>
      <c r="J83" t="b">
        <f>OR(ISNUMBER(FIND("Sueldo",Registros[[#This Row],[Descripción]])),ISNUMBER(FIND("sueldo",Registros[[#This Row],[Descripción]])))</f>
        <v>0</v>
      </c>
      <c r="K83" t="b">
        <f>OR(ISNUMBER(FIND("Javi",Registros[[#This Row],[Descripción]])),ISNUMBER(FIND("javi",Registros[[#This Row],[Descripción]])))</f>
        <v>0</v>
      </c>
    </row>
    <row r="84" spans="2:11" ht="12.75" x14ac:dyDescent="0.2">
      <c r="B84" s="10">
        <v>46113</v>
      </c>
      <c r="C84" s="3" t="s">
        <v>125</v>
      </c>
      <c r="D84" s="3" t="s">
        <v>8</v>
      </c>
      <c r="E84" s="3" t="s">
        <v>22</v>
      </c>
      <c r="F84" s="50"/>
      <c r="G84" s="7">
        <v>343340</v>
      </c>
      <c r="H84" s="2">
        <f>MONTH(Registros[[#This Row],[Fecha]])</f>
        <v>4</v>
      </c>
      <c r="I84" s="2">
        <f>YEAR(Registros[[#This Row],[Fecha]])</f>
        <v>2026</v>
      </c>
      <c r="J84" t="b">
        <f>OR(ISNUMBER(FIND("Sueldo",Registros[[#This Row],[Descripción]])),ISNUMBER(FIND("sueldo",Registros[[#This Row],[Descripción]])))</f>
        <v>0</v>
      </c>
      <c r="K84" t="b">
        <f>OR(ISNUMBER(FIND("Javi",Registros[[#This Row],[Descripción]])),ISNUMBER(FIND("javi",Registros[[#This Row],[Descripción]])))</f>
        <v>0</v>
      </c>
    </row>
    <row r="85" spans="2:11" ht="12.75" x14ac:dyDescent="0.2">
      <c r="B85" s="10">
        <v>46113</v>
      </c>
      <c r="C85" s="3" t="s">
        <v>78</v>
      </c>
      <c r="D85" s="3" t="s">
        <v>7</v>
      </c>
      <c r="E85" s="3" t="s">
        <v>14</v>
      </c>
      <c r="F85" s="50">
        <v>360000</v>
      </c>
      <c r="G85" s="7"/>
      <c r="H85" s="2">
        <f>MONTH(Registros[[#This Row],[Fecha]])</f>
        <v>4</v>
      </c>
      <c r="I85" s="2">
        <f>YEAR(Registros[[#This Row],[Fecha]])</f>
        <v>2026</v>
      </c>
      <c r="J85" t="b">
        <f>OR(ISNUMBER(FIND("Sueldo",Registros[[#This Row],[Descripción]])),ISNUMBER(FIND("sueldo",Registros[[#This Row],[Descripción]])))</f>
        <v>0</v>
      </c>
      <c r="K85" t="b">
        <f>OR(ISNUMBER(FIND("Javi",Registros[[#This Row],[Descripción]])),ISNUMBER(FIND("javi",Registros[[#This Row],[Descripción]])))</f>
        <v>1</v>
      </c>
    </row>
    <row r="86" spans="2:11" ht="12.75" x14ac:dyDescent="0.2">
      <c r="B86" s="10">
        <v>46113</v>
      </c>
      <c r="C86" s="3" t="s">
        <v>126</v>
      </c>
      <c r="D86" s="3" t="s">
        <v>7</v>
      </c>
      <c r="E86" s="3" t="s">
        <v>11</v>
      </c>
      <c r="F86" s="50"/>
      <c r="G86" s="7">
        <v>32080</v>
      </c>
      <c r="H86" s="2">
        <f>MONTH(Registros[[#This Row],[Fecha]])</f>
        <v>4</v>
      </c>
      <c r="I86" s="2">
        <f>YEAR(Registros[[#This Row],[Fecha]])</f>
        <v>2026</v>
      </c>
      <c r="J86" t="b">
        <f>OR(ISNUMBER(FIND("Sueldo",Registros[[#This Row],[Descripción]])),ISNUMBER(FIND("sueldo",Registros[[#This Row],[Descripción]])))</f>
        <v>0</v>
      </c>
      <c r="K86" t="b">
        <f>OR(ISNUMBER(FIND("Javi",Registros[[#This Row],[Descripción]])),ISNUMBER(FIND("javi",Registros[[#This Row],[Descripción]])))</f>
        <v>0</v>
      </c>
    </row>
    <row r="87" spans="2:11" ht="12.75" x14ac:dyDescent="0.2">
      <c r="B87" s="10">
        <v>46113</v>
      </c>
      <c r="C87" s="3" t="s">
        <v>127</v>
      </c>
      <c r="D87" s="3" t="s">
        <v>7</v>
      </c>
      <c r="E87" s="3" t="s">
        <v>11</v>
      </c>
      <c r="F87" s="50"/>
      <c r="G87" s="7">
        <v>13360</v>
      </c>
      <c r="H87" s="2">
        <f>MONTH(Registros[[#This Row],[Fecha]])</f>
        <v>4</v>
      </c>
      <c r="I87" s="2">
        <f>YEAR(Registros[[#This Row],[Fecha]])</f>
        <v>2026</v>
      </c>
      <c r="J87" t="b">
        <f>OR(ISNUMBER(FIND("Sueldo",Registros[[#This Row],[Descripción]])),ISNUMBER(FIND("sueldo",Registros[[#This Row],[Descripción]])))</f>
        <v>0</v>
      </c>
      <c r="K87" t="b">
        <f>OR(ISNUMBER(FIND("Javi",Registros[[#This Row],[Descripción]])),ISNUMBER(FIND("javi",Registros[[#This Row],[Descripción]])))</f>
        <v>0</v>
      </c>
    </row>
    <row r="88" spans="2:11" ht="12.75" x14ac:dyDescent="0.2">
      <c r="B88" s="10">
        <v>46113</v>
      </c>
      <c r="C88" s="3" t="s">
        <v>128</v>
      </c>
      <c r="D88" s="3" t="s">
        <v>7</v>
      </c>
      <c r="E88" s="3" t="s">
        <v>11</v>
      </c>
      <c r="F88" s="50"/>
      <c r="G88" s="7">
        <v>66105</v>
      </c>
      <c r="H88" s="2">
        <f>MONTH(Registros[[#This Row],[Fecha]])</f>
        <v>4</v>
      </c>
      <c r="I88" s="2">
        <f>YEAR(Registros[[#This Row],[Fecha]])</f>
        <v>2026</v>
      </c>
      <c r="J88" t="b">
        <f>OR(ISNUMBER(FIND("Sueldo",Registros[[#This Row],[Descripción]])),ISNUMBER(FIND("sueldo",Registros[[#This Row],[Descripción]])))</f>
        <v>0</v>
      </c>
      <c r="K88" t="b">
        <f>OR(ISNUMBER(FIND("Javi",Registros[[#This Row],[Descripción]])),ISNUMBER(FIND("javi",Registros[[#This Row],[Descripción]])))</f>
        <v>0</v>
      </c>
    </row>
    <row r="89" spans="2:11" ht="12.75" x14ac:dyDescent="0.2">
      <c r="B89" s="10">
        <v>46113</v>
      </c>
      <c r="C89" s="3" t="s">
        <v>129</v>
      </c>
      <c r="D89" s="3" t="s">
        <v>7</v>
      </c>
      <c r="E89" s="3" t="s">
        <v>11</v>
      </c>
      <c r="F89" s="50"/>
      <c r="G89" s="7">
        <v>30598</v>
      </c>
      <c r="H89" s="2">
        <f>MONTH(Registros[[#This Row],[Fecha]])</f>
        <v>4</v>
      </c>
      <c r="I89" s="2">
        <f>YEAR(Registros[[#This Row],[Fecha]])</f>
        <v>2026</v>
      </c>
      <c r="J89" t="b">
        <f>OR(ISNUMBER(FIND("Sueldo",Registros[[#This Row],[Descripción]])),ISNUMBER(FIND("sueldo",Registros[[#This Row],[Descripción]])))</f>
        <v>0</v>
      </c>
      <c r="K89" t="b">
        <f>OR(ISNUMBER(FIND("Javi",Registros[[#This Row],[Descripción]])),ISNUMBER(FIND("javi",Registros[[#This Row],[Descripción]])))</f>
        <v>0</v>
      </c>
    </row>
    <row r="90" spans="2:11" ht="12.75" x14ac:dyDescent="0.2">
      <c r="B90" s="10">
        <v>46113</v>
      </c>
      <c r="C90" s="3" t="s">
        <v>130</v>
      </c>
      <c r="D90" s="3" t="s">
        <v>7</v>
      </c>
      <c r="E90" s="3" t="s">
        <v>14</v>
      </c>
      <c r="F90" s="50"/>
      <c r="G90" s="7">
        <v>700000</v>
      </c>
      <c r="H90" s="2">
        <f>MONTH(Registros[[#This Row],[Fecha]])</f>
        <v>4</v>
      </c>
      <c r="I90" s="2">
        <f>YEAR(Registros[[#This Row],[Fecha]])</f>
        <v>2026</v>
      </c>
      <c r="J90" t="b">
        <f>OR(ISNUMBER(FIND("Sueldo",Registros[[#This Row],[Descripción]])),ISNUMBER(FIND("sueldo",Registros[[#This Row],[Descripción]])))</f>
        <v>0</v>
      </c>
      <c r="K90" t="b">
        <f>OR(ISNUMBER(FIND("Javi",Registros[[#This Row],[Descripción]])),ISNUMBER(FIND("javi",Registros[[#This Row],[Descripción]])))</f>
        <v>0</v>
      </c>
    </row>
    <row r="91" spans="2:11" ht="12.75" x14ac:dyDescent="0.2">
      <c r="B91" s="10">
        <v>46113</v>
      </c>
      <c r="C91" s="3"/>
      <c r="D91" s="3" t="s">
        <v>8</v>
      </c>
      <c r="E91" s="3"/>
      <c r="F91" s="50"/>
      <c r="G91" s="7">
        <v>1600</v>
      </c>
      <c r="H91" s="2">
        <f>MONTH(Registros[[#This Row],[Fecha]])</f>
        <v>4</v>
      </c>
      <c r="I91" s="2">
        <f>YEAR(Registros[[#This Row],[Fecha]])</f>
        <v>2026</v>
      </c>
      <c r="J91" t="b">
        <f>OR(ISNUMBER(FIND("Sueldo",Registros[[#This Row],[Descripción]])),ISNUMBER(FIND("sueldo",Registros[[#This Row],[Descripción]])))</f>
        <v>0</v>
      </c>
      <c r="K91" t="b">
        <f>OR(ISNUMBER(FIND("Javi",Registros[[#This Row],[Descripción]])),ISNUMBER(FIND("javi",Registros[[#This Row],[Descripción]])))</f>
        <v>0</v>
      </c>
    </row>
    <row r="92" spans="2:11" ht="12.75" x14ac:dyDescent="0.2">
      <c r="B92" s="10">
        <v>46114</v>
      </c>
      <c r="C92" s="3" t="s">
        <v>81</v>
      </c>
      <c r="D92" s="3" t="s">
        <v>7</v>
      </c>
      <c r="E92" s="3" t="s">
        <v>11</v>
      </c>
      <c r="F92" s="50"/>
      <c r="G92" s="7">
        <v>7990</v>
      </c>
      <c r="H92" s="2">
        <f>MONTH(Registros[[#This Row],[Fecha]])</f>
        <v>4</v>
      </c>
      <c r="I92" s="2">
        <f>YEAR(Registros[[#This Row],[Fecha]])</f>
        <v>2026</v>
      </c>
      <c r="J92" t="b">
        <f>OR(ISNUMBER(FIND("Sueldo",Registros[[#This Row],[Descripción]])),ISNUMBER(FIND("sueldo",Registros[[#This Row],[Descripción]])))</f>
        <v>0</v>
      </c>
      <c r="K92" t="b">
        <f>OR(ISNUMBER(FIND("Javi",Registros[[#This Row],[Descripción]])),ISNUMBER(FIND("javi",Registros[[#This Row],[Descripción]])))</f>
        <v>0</v>
      </c>
    </row>
    <row r="93" spans="2:11" ht="12.75" x14ac:dyDescent="0.2">
      <c r="B93" s="10">
        <v>46114</v>
      </c>
      <c r="C93" s="3" t="s">
        <v>131</v>
      </c>
      <c r="D93" s="3" t="s">
        <v>8</v>
      </c>
      <c r="E93" s="3" t="s">
        <v>22</v>
      </c>
      <c r="F93" s="50"/>
      <c r="G93" s="7">
        <v>22812</v>
      </c>
      <c r="H93" s="2">
        <f>MONTH(Registros[[#This Row],[Fecha]])</f>
        <v>4</v>
      </c>
      <c r="I93" s="2">
        <f>YEAR(Registros[[#This Row],[Fecha]])</f>
        <v>2026</v>
      </c>
      <c r="J93" t="b">
        <f>OR(ISNUMBER(FIND("Sueldo",Registros[[#This Row],[Descripción]])),ISNUMBER(FIND("sueldo",Registros[[#This Row],[Descripción]])))</f>
        <v>0</v>
      </c>
      <c r="K93" t="b">
        <f>OR(ISNUMBER(FIND("Javi",Registros[[#This Row],[Descripción]])),ISNUMBER(FIND("javi",Registros[[#This Row],[Descripción]])))</f>
        <v>0</v>
      </c>
    </row>
    <row r="94" spans="2:11" ht="12.75" x14ac:dyDescent="0.2">
      <c r="B94" s="10">
        <v>46114</v>
      </c>
      <c r="C94" s="3" t="s">
        <v>132</v>
      </c>
      <c r="D94" s="3" t="s">
        <v>8</v>
      </c>
      <c r="E94" s="3" t="s">
        <v>59</v>
      </c>
      <c r="F94" s="50"/>
      <c r="G94" s="7">
        <v>1790</v>
      </c>
      <c r="H94" s="2">
        <f>MONTH(Registros[[#This Row],[Fecha]])</f>
        <v>4</v>
      </c>
      <c r="I94" s="2">
        <f>YEAR(Registros[[#This Row],[Fecha]])</f>
        <v>2026</v>
      </c>
      <c r="J94" t="b">
        <f>OR(ISNUMBER(FIND("Sueldo",Registros[[#This Row],[Descripción]])),ISNUMBER(FIND("sueldo",Registros[[#This Row],[Descripción]])))</f>
        <v>0</v>
      </c>
      <c r="K94" t="b">
        <f>OR(ISNUMBER(FIND("Javi",Registros[[#This Row],[Descripción]])),ISNUMBER(FIND("javi",Registros[[#This Row],[Descripción]])))</f>
        <v>0</v>
      </c>
    </row>
    <row r="95" spans="2:11" ht="12.75" x14ac:dyDescent="0.2">
      <c r="B95" s="10">
        <v>46114</v>
      </c>
      <c r="C95" s="3" t="s">
        <v>82</v>
      </c>
      <c r="D95" s="3" t="s">
        <v>7</v>
      </c>
      <c r="E95" s="3" t="s">
        <v>12</v>
      </c>
      <c r="F95" s="50"/>
      <c r="G95" s="7">
        <v>10000</v>
      </c>
      <c r="H95" s="2">
        <f>MONTH(Registros[[#This Row],[Fecha]])</f>
        <v>4</v>
      </c>
      <c r="I95" s="2">
        <f>YEAR(Registros[[#This Row],[Fecha]])</f>
        <v>2026</v>
      </c>
      <c r="J95" t="b">
        <f>OR(ISNUMBER(FIND("Sueldo",Registros[[#This Row],[Descripción]])),ISNUMBER(FIND("sueldo",Registros[[#This Row],[Descripción]])))</f>
        <v>0</v>
      </c>
      <c r="K95" t="b">
        <f>OR(ISNUMBER(FIND("Javi",Registros[[#This Row],[Descripción]])),ISNUMBER(FIND("javi",Registros[[#This Row],[Descripción]])))</f>
        <v>0</v>
      </c>
    </row>
    <row r="96" spans="2:11" ht="12.75" x14ac:dyDescent="0.2">
      <c r="B96" s="10">
        <v>46115</v>
      </c>
      <c r="C96" s="3" t="s">
        <v>133</v>
      </c>
      <c r="D96" s="3" t="s">
        <v>8</v>
      </c>
      <c r="E96" s="3" t="s">
        <v>15</v>
      </c>
      <c r="F96" s="50"/>
      <c r="G96" s="7">
        <v>7800</v>
      </c>
      <c r="H96" s="2">
        <f>MONTH(Registros[[#This Row],[Fecha]])</f>
        <v>4</v>
      </c>
      <c r="I96" s="2">
        <f>YEAR(Registros[[#This Row],[Fecha]])</f>
        <v>2026</v>
      </c>
      <c r="J96" t="b">
        <f>OR(ISNUMBER(FIND("Sueldo",Registros[[#This Row],[Descripción]])),ISNUMBER(FIND("sueldo",Registros[[#This Row],[Descripción]])))</f>
        <v>0</v>
      </c>
      <c r="K96" t="b">
        <f>OR(ISNUMBER(FIND("Javi",Registros[[#This Row],[Descripción]])),ISNUMBER(FIND("javi",Registros[[#This Row],[Descripción]])))</f>
        <v>0</v>
      </c>
    </row>
    <row r="97" spans="2:11" ht="12.75" x14ac:dyDescent="0.2">
      <c r="B97" s="10">
        <v>46116</v>
      </c>
      <c r="C97" s="3"/>
      <c r="D97" s="3" t="s">
        <v>8</v>
      </c>
      <c r="E97" s="3"/>
      <c r="F97" s="50"/>
      <c r="G97" s="7">
        <v>20000</v>
      </c>
      <c r="H97" s="2">
        <f>MONTH(Registros[[#This Row],[Fecha]])</f>
        <v>4</v>
      </c>
      <c r="I97" s="2">
        <f>YEAR(Registros[[#This Row],[Fecha]])</f>
        <v>2026</v>
      </c>
      <c r="J97" t="b">
        <f>OR(ISNUMBER(FIND("Sueldo",Registros[[#This Row],[Descripción]])),ISNUMBER(FIND("sueldo",Registros[[#This Row],[Descripción]])))</f>
        <v>0</v>
      </c>
      <c r="K97" t="b">
        <f>OR(ISNUMBER(FIND("Javi",Registros[[#This Row],[Descripción]])),ISNUMBER(FIND("javi",Registros[[#This Row],[Descripción]])))</f>
        <v>0</v>
      </c>
    </row>
    <row r="98" spans="2:11" ht="12.75" x14ac:dyDescent="0.2">
      <c r="B98" s="10">
        <v>46116</v>
      </c>
      <c r="C98" s="3"/>
      <c r="D98" s="3" t="s">
        <v>8</v>
      </c>
      <c r="E98" s="3"/>
      <c r="F98" s="50"/>
      <c r="G98" s="7">
        <v>18469</v>
      </c>
      <c r="H98" s="2">
        <f>MONTH(Registros[[#This Row],[Fecha]])</f>
        <v>4</v>
      </c>
      <c r="I98" s="2">
        <f>YEAR(Registros[[#This Row],[Fecha]])</f>
        <v>2026</v>
      </c>
      <c r="J98" t="b">
        <f>OR(ISNUMBER(FIND("Sueldo",Registros[[#This Row],[Descripción]])),ISNUMBER(FIND("sueldo",Registros[[#This Row],[Descripción]])))</f>
        <v>0</v>
      </c>
      <c r="K98" t="b">
        <f>OR(ISNUMBER(FIND("Javi",Registros[[#This Row],[Descripción]])),ISNUMBER(FIND("javi",Registros[[#This Row],[Descripción]])))</f>
        <v>0</v>
      </c>
    </row>
    <row r="99" spans="2:11" ht="12.75" x14ac:dyDescent="0.2">
      <c r="B99" s="10">
        <v>46116</v>
      </c>
      <c r="C99" s="3" t="s">
        <v>134</v>
      </c>
      <c r="D99" s="3" t="s">
        <v>7</v>
      </c>
      <c r="E99" s="3" t="s">
        <v>59</v>
      </c>
      <c r="F99" s="50"/>
      <c r="G99" s="7">
        <v>7240</v>
      </c>
      <c r="H99" s="2">
        <f>MONTH(Registros[[#This Row],[Fecha]])</f>
        <v>4</v>
      </c>
      <c r="I99" s="2">
        <f>YEAR(Registros[[#This Row],[Fecha]])</f>
        <v>2026</v>
      </c>
      <c r="J99" t="b">
        <f>OR(ISNUMBER(FIND("Sueldo",Registros[[#This Row],[Descripción]])),ISNUMBER(FIND("sueldo",Registros[[#This Row],[Descripción]])))</f>
        <v>0</v>
      </c>
      <c r="K99" t="b">
        <f>OR(ISNUMBER(FIND("Javi",Registros[[#This Row],[Descripción]])),ISNUMBER(FIND("javi",Registros[[#This Row],[Descripción]])))</f>
        <v>0</v>
      </c>
    </row>
    <row r="100" spans="2:11" ht="12.75" x14ac:dyDescent="0.2">
      <c r="B100" s="10">
        <v>46116</v>
      </c>
      <c r="C100" s="3" t="s">
        <v>79</v>
      </c>
      <c r="D100" s="3" t="s">
        <v>7</v>
      </c>
      <c r="E100" s="3" t="s">
        <v>59</v>
      </c>
      <c r="F100" s="50"/>
      <c r="G100" s="7">
        <v>4290</v>
      </c>
      <c r="H100" s="2">
        <f>MONTH(Registros[[#This Row],[Fecha]])</f>
        <v>4</v>
      </c>
      <c r="I100" s="2">
        <f>YEAR(Registros[[#This Row],[Fecha]])</f>
        <v>2026</v>
      </c>
      <c r="J100" t="b">
        <f>OR(ISNUMBER(FIND("Sueldo",Registros[[#This Row],[Descripción]])),ISNUMBER(FIND("sueldo",Registros[[#This Row],[Descripción]])))</f>
        <v>0</v>
      </c>
      <c r="K100" t="b">
        <f>OR(ISNUMBER(FIND("Javi",Registros[[#This Row],[Descripción]])),ISNUMBER(FIND("javi",Registros[[#This Row],[Descripción]])))</f>
        <v>0</v>
      </c>
    </row>
    <row r="101" spans="2:11" ht="12.75" x14ac:dyDescent="0.2">
      <c r="B101" s="10">
        <v>46117</v>
      </c>
      <c r="C101" s="3" t="s">
        <v>135</v>
      </c>
      <c r="D101" s="3" t="s">
        <v>8</v>
      </c>
      <c r="E101" s="3"/>
      <c r="F101" s="50"/>
      <c r="G101" s="7">
        <v>5000</v>
      </c>
      <c r="H101" s="2">
        <f>MONTH(Registros[[#This Row],[Fecha]])</f>
        <v>4</v>
      </c>
      <c r="I101" s="2">
        <f>YEAR(Registros[[#This Row],[Fecha]])</f>
        <v>2026</v>
      </c>
      <c r="J101" t="b">
        <f>OR(ISNUMBER(FIND("Sueldo",Registros[[#This Row],[Descripción]])),ISNUMBER(FIND("sueldo",Registros[[#This Row],[Descripción]])))</f>
        <v>0</v>
      </c>
      <c r="K101" t="b">
        <f>OR(ISNUMBER(FIND("Javi",Registros[[#This Row],[Descripción]])),ISNUMBER(FIND("javi",Registros[[#This Row],[Descripción]])))</f>
        <v>0</v>
      </c>
    </row>
    <row r="102" spans="2:11" ht="12.75" x14ac:dyDescent="0.2">
      <c r="B102" s="10">
        <v>46118</v>
      </c>
      <c r="C102" s="3" t="s">
        <v>136</v>
      </c>
      <c r="D102" s="3" t="s">
        <v>8</v>
      </c>
      <c r="E102" s="3" t="s">
        <v>27</v>
      </c>
      <c r="F102" s="50"/>
      <c r="G102" s="7">
        <v>18707</v>
      </c>
      <c r="H102" s="2">
        <f>MONTH(Registros[[#This Row],[Fecha]])</f>
        <v>4</v>
      </c>
      <c r="I102" s="2">
        <f>YEAR(Registros[[#This Row],[Fecha]])</f>
        <v>2026</v>
      </c>
      <c r="J102" t="b">
        <f>OR(ISNUMBER(FIND("Sueldo",Registros[[#This Row],[Descripción]])),ISNUMBER(FIND("sueldo",Registros[[#This Row],[Descripción]])))</f>
        <v>0</v>
      </c>
      <c r="K102" t="b">
        <f>OR(ISNUMBER(FIND("Javi",Registros[[#This Row],[Descripción]])),ISNUMBER(FIND("javi",Registros[[#This Row],[Descripción]])))</f>
        <v>0</v>
      </c>
    </row>
    <row r="103" spans="2:11" ht="12.75" x14ac:dyDescent="0.2">
      <c r="B103" s="10">
        <v>46118</v>
      </c>
      <c r="C103" s="3" t="s">
        <v>137</v>
      </c>
      <c r="D103" s="3" t="s">
        <v>8</v>
      </c>
      <c r="E103" s="3" t="s">
        <v>27</v>
      </c>
      <c r="F103" s="50">
        <v>19920</v>
      </c>
      <c r="G103" s="7"/>
      <c r="H103" s="2">
        <f>MONTH(Registros[[#This Row],[Fecha]])</f>
        <v>4</v>
      </c>
      <c r="I103" s="2">
        <f>YEAR(Registros[[#This Row],[Fecha]])</f>
        <v>2026</v>
      </c>
      <c r="J103" t="b">
        <f>OR(ISNUMBER(FIND("Sueldo",Registros[[#This Row],[Descripción]])),ISNUMBER(FIND("sueldo",Registros[[#This Row],[Descripción]])))</f>
        <v>0</v>
      </c>
      <c r="K103" t="b">
        <f>OR(ISNUMBER(FIND("Javi",Registros[[#This Row],[Descripción]])),ISNUMBER(FIND("javi",Registros[[#This Row],[Descripción]])))</f>
        <v>0</v>
      </c>
    </row>
    <row r="104" spans="2:11" ht="12.75" x14ac:dyDescent="0.2">
      <c r="B104" s="10">
        <v>46118</v>
      </c>
      <c r="C104" s="3" t="s">
        <v>80</v>
      </c>
      <c r="D104" s="3" t="s">
        <v>8</v>
      </c>
      <c r="E104" s="3" t="s">
        <v>17</v>
      </c>
      <c r="F104" s="50"/>
      <c r="G104" s="7">
        <v>55000</v>
      </c>
      <c r="H104" s="2">
        <f>MONTH(Registros[[#This Row],[Fecha]])</f>
        <v>4</v>
      </c>
      <c r="I104" s="2">
        <f>YEAR(Registros[[#This Row],[Fecha]])</f>
        <v>2026</v>
      </c>
      <c r="J104" t="b">
        <f>OR(ISNUMBER(FIND("Sueldo",Registros[[#This Row],[Descripción]])),ISNUMBER(FIND("sueldo",Registros[[#This Row],[Descripción]])))</f>
        <v>0</v>
      </c>
      <c r="K104" t="b">
        <f>OR(ISNUMBER(FIND("Javi",Registros[[#This Row],[Descripción]])),ISNUMBER(FIND("javi",Registros[[#This Row],[Descripción]])))</f>
        <v>0</v>
      </c>
    </row>
    <row r="105" spans="2:11" ht="12.75" x14ac:dyDescent="0.2">
      <c r="B105" s="10">
        <v>46118</v>
      </c>
      <c r="C105" s="3" t="s">
        <v>138</v>
      </c>
      <c r="D105" s="3" t="s">
        <v>8</v>
      </c>
      <c r="E105" s="3" t="s">
        <v>11</v>
      </c>
      <c r="F105" s="50"/>
      <c r="G105" s="7">
        <v>6000</v>
      </c>
      <c r="H105" s="2">
        <f>MONTH(Registros[[#This Row],[Fecha]])</f>
        <v>4</v>
      </c>
      <c r="I105" s="2">
        <f>YEAR(Registros[[#This Row],[Fecha]])</f>
        <v>2026</v>
      </c>
      <c r="J105" t="b">
        <f>OR(ISNUMBER(FIND("Sueldo",Registros[[#This Row],[Descripción]])),ISNUMBER(FIND("sueldo",Registros[[#This Row],[Descripción]])))</f>
        <v>0</v>
      </c>
      <c r="K105" t="b">
        <f>OR(ISNUMBER(FIND("Javi",Registros[[#This Row],[Descripción]])),ISNUMBER(FIND("javi",Registros[[#This Row],[Descripción]])))</f>
        <v>0</v>
      </c>
    </row>
    <row r="106" spans="2:11" ht="12.75" x14ac:dyDescent="0.2">
      <c r="B106" s="10">
        <v>46119</v>
      </c>
      <c r="C106" s="3" t="s">
        <v>79</v>
      </c>
      <c r="D106" s="3" t="s">
        <v>7</v>
      </c>
      <c r="E106" s="3" t="s">
        <v>59</v>
      </c>
      <c r="F106" s="50"/>
      <c r="G106" s="7">
        <v>3940</v>
      </c>
      <c r="H106" s="2">
        <f>MONTH(Registros[[#This Row],[Fecha]])</f>
        <v>4</v>
      </c>
      <c r="I106" s="2">
        <f>YEAR(Registros[[#This Row],[Fecha]])</f>
        <v>2026</v>
      </c>
      <c r="J106" t="b">
        <f>OR(ISNUMBER(FIND("Sueldo",Registros[[#This Row],[Descripción]])),ISNUMBER(FIND("sueldo",Registros[[#This Row],[Descripción]])))</f>
        <v>0</v>
      </c>
      <c r="K106" t="b">
        <f>OR(ISNUMBER(FIND("Javi",Registros[[#This Row],[Descripción]])),ISNUMBER(FIND("javi",Registros[[#This Row],[Descripción]])))</f>
        <v>0</v>
      </c>
    </row>
    <row r="107" spans="2:11" ht="12.75" x14ac:dyDescent="0.2">
      <c r="B107" s="10">
        <v>46120</v>
      </c>
      <c r="C107" s="3"/>
      <c r="D107" s="3" t="s">
        <v>8</v>
      </c>
      <c r="E107" s="3"/>
      <c r="F107" s="50"/>
      <c r="G107" s="7">
        <v>26000</v>
      </c>
      <c r="H107" s="2">
        <f>MONTH(Registros[[#This Row],[Fecha]])</f>
        <v>4</v>
      </c>
      <c r="I107" s="2">
        <f>YEAR(Registros[[#This Row],[Fecha]])</f>
        <v>2026</v>
      </c>
      <c r="J107" t="b">
        <f>OR(ISNUMBER(FIND("Sueldo",Registros[[#This Row],[Descripción]])),ISNUMBER(FIND("sueldo",Registros[[#This Row],[Descripción]])))</f>
        <v>0</v>
      </c>
      <c r="K107" t="b">
        <f>OR(ISNUMBER(FIND("Javi",Registros[[#This Row],[Descripción]])),ISNUMBER(FIND("javi",Registros[[#This Row],[Descripción]])))</f>
        <v>0</v>
      </c>
    </row>
    <row r="108" spans="2:11" ht="12.75" x14ac:dyDescent="0.2">
      <c r="B108" s="10">
        <v>46120</v>
      </c>
      <c r="C108" s="3" t="s">
        <v>139</v>
      </c>
      <c r="D108" s="3" t="s">
        <v>8</v>
      </c>
      <c r="E108" s="3" t="s">
        <v>15</v>
      </c>
      <c r="F108" s="50"/>
      <c r="G108" s="7">
        <v>7000</v>
      </c>
      <c r="H108" s="2">
        <f>MONTH(Registros[[#This Row],[Fecha]])</f>
        <v>4</v>
      </c>
      <c r="I108" s="2">
        <f>YEAR(Registros[[#This Row],[Fecha]])</f>
        <v>2026</v>
      </c>
      <c r="J108" t="b">
        <f>OR(ISNUMBER(FIND("Sueldo",Registros[[#This Row],[Descripción]])),ISNUMBER(FIND("sueldo",Registros[[#This Row],[Descripción]])))</f>
        <v>0</v>
      </c>
      <c r="K108" t="b">
        <f>OR(ISNUMBER(FIND("Javi",Registros[[#This Row],[Descripción]])),ISNUMBER(FIND("javi",Registros[[#This Row],[Descripción]])))</f>
        <v>0</v>
      </c>
    </row>
    <row r="109" spans="2:11" ht="12.75" x14ac:dyDescent="0.2">
      <c r="B109" s="10">
        <v>46121</v>
      </c>
      <c r="C109" s="3" t="s">
        <v>140</v>
      </c>
      <c r="D109" s="3" t="s">
        <v>8</v>
      </c>
      <c r="E109" s="3" t="s">
        <v>25</v>
      </c>
      <c r="F109" s="50"/>
      <c r="G109" s="7">
        <v>34990</v>
      </c>
      <c r="H109" s="2">
        <f>MONTH(Registros[[#This Row],[Fecha]])</f>
        <v>4</v>
      </c>
      <c r="I109" s="2">
        <f>YEAR(Registros[[#This Row],[Fecha]])</f>
        <v>2026</v>
      </c>
      <c r="J109" t="b">
        <f>OR(ISNUMBER(FIND("Sueldo",Registros[[#This Row],[Descripción]])),ISNUMBER(FIND("sueldo",Registros[[#This Row],[Descripción]])))</f>
        <v>0</v>
      </c>
      <c r="K109" t="b">
        <f>OR(ISNUMBER(FIND("Javi",Registros[[#This Row],[Descripción]])),ISNUMBER(FIND("javi",Registros[[#This Row],[Descripción]])))</f>
        <v>0</v>
      </c>
    </row>
    <row r="110" spans="2:11" ht="12.75" x14ac:dyDescent="0.2">
      <c r="B110" s="10">
        <v>46121</v>
      </c>
      <c r="C110" s="3" t="s">
        <v>141</v>
      </c>
      <c r="D110" s="3" t="s">
        <v>8</v>
      </c>
      <c r="E110" s="3" t="s">
        <v>9</v>
      </c>
      <c r="F110" s="50"/>
      <c r="G110" s="7">
        <v>30000</v>
      </c>
      <c r="H110" s="2">
        <f>MONTH(Registros[[#This Row],[Fecha]])</f>
        <v>4</v>
      </c>
      <c r="I110" s="2">
        <f>YEAR(Registros[[#This Row],[Fecha]])</f>
        <v>2026</v>
      </c>
      <c r="J110" t="b">
        <f>OR(ISNUMBER(FIND("Sueldo",Registros[[#This Row],[Descripción]])),ISNUMBER(FIND("sueldo",Registros[[#This Row],[Descripción]])))</f>
        <v>0</v>
      </c>
      <c r="K110" t="b">
        <f>OR(ISNUMBER(FIND("Javi",Registros[[#This Row],[Descripción]])),ISNUMBER(FIND("javi",Registros[[#This Row],[Descripción]])))</f>
        <v>0</v>
      </c>
    </row>
    <row r="111" spans="2:11" ht="12.75" x14ac:dyDescent="0.2">
      <c r="B111" s="10">
        <v>46122</v>
      </c>
      <c r="C111" s="3" t="s">
        <v>83</v>
      </c>
      <c r="D111" s="3" t="s">
        <v>7</v>
      </c>
      <c r="E111" s="3" t="s">
        <v>9</v>
      </c>
      <c r="F111" s="50"/>
      <c r="G111" s="7">
        <v>4600</v>
      </c>
      <c r="H111" s="2">
        <f>MONTH(Registros[[#This Row],[Fecha]])</f>
        <v>4</v>
      </c>
      <c r="I111" s="2">
        <f>YEAR(Registros[[#This Row],[Fecha]])</f>
        <v>2026</v>
      </c>
      <c r="J111" t="b">
        <f>OR(ISNUMBER(FIND("Sueldo",Registros[[#This Row],[Descripción]])),ISNUMBER(FIND("sueldo",Registros[[#This Row],[Descripción]])))</f>
        <v>0</v>
      </c>
      <c r="K111" t="b">
        <f>OR(ISNUMBER(FIND("Javi",Registros[[#This Row],[Descripción]])),ISNUMBER(FIND("javi",Registros[[#This Row],[Descripción]])))</f>
        <v>0</v>
      </c>
    </row>
    <row r="112" spans="2:11" ht="12.75" x14ac:dyDescent="0.2">
      <c r="B112" s="10">
        <v>46122</v>
      </c>
      <c r="C112" s="3" t="s">
        <v>140</v>
      </c>
      <c r="D112" s="3" t="s">
        <v>8</v>
      </c>
      <c r="E112" s="3" t="s">
        <v>25</v>
      </c>
      <c r="F112" s="52"/>
      <c r="G112" s="9">
        <v>-10196</v>
      </c>
      <c r="H112" s="2">
        <f>MONTH(Registros[[#This Row],[Fecha]])</f>
        <v>4</v>
      </c>
      <c r="I112" s="2">
        <f>YEAR(Registros[[#This Row],[Fecha]])</f>
        <v>2026</v>
      </c>
      <c r="J112" t="b">
        <f>OR(ISNUMBER(FIND("Sueldo",Registros[[#This Row],[Descripción]])),ISNUMBER(FIND("sueldo",Registros[[#This Row],[Descripción]])))</f>
        <v>0</v>
      </c>
      <c r="K112" t="b">
        <f>OR(ISNUMBER(FIND("Javi",Registros[[#This Row],[Descripción]])),ISNUMBER(FIND("javi",Registros[[#This Row],[Descripción]])))</f>
        <v>0</v>
      </c>
    </row>
    <row r="113" spans="2:11" ht="12.75" x14ac:dyDescent="0.2">
      <c r="B113" s="12">
        <v>46122</v>
      </c>
      <c r="C113" s="8" t="s">
        <v>142</v>
      </c>
      <c r="D113" s="8" t="s">
        <v>8</v>
      </c>
      <c r="E113" s="8" t="s">
        <v>25</v>
      </c>
      <c r="F113" s="52"/>
      <c r="G113" s="9">
        <v>28000</v>
      </c>
      <c r="H113" s="2">
        <f>MONTH(Registros[[#This Row],[Fecha]])</f>
        <v>4</v>
      </c>
      <c r="I113" s="2">
        <f>YEAR(Registros[[#This Row],[Fecha]])</f>
        <v>2026</v>
      </c>
      <c r="J113" t="b">
        <f>OR(ISNUMBER(FIND("Sueldo",Registros[[#This Row],[Descripción]])),ISNUMBER(FIND("sueldo",Registros[[#This Row],[Descripción]])))</f>
        <v>0</v>
      </c>
      <c r="K113" t="b">
        <f>OR(ISNUMBER(FIND("Javi",Registros[[#This Row],[Descripción]])),ISNUMBER(FIND("javi",Registros[[#This Row],[Descripción]])))</f>
        <v>0</v>
      </c>
    </row>
    <row r="114" spans="2:11" ht="12.75" x14ac:dyDescent="0.2">
      <c r="B114" s="12">
        <v>46122</v>
      </c>
      <c r="C114" s="8" t="s">
        <v>79</v>
      </c>
      <c r="D114" s="8" t="s">
        <v>7</v>
      </c>
      <c r="E114" s="8" t="s">
        <v>59</v>
      </c>
      <c r="F114" s="52"/>
      <c r="G114" s="9">
        <v>15787</v>
      </c>
      <c r="H114" s="2">
        <f>MONTH(Registros[[#This Row],[Fecha]])</f>
        <v>4</v>
      </c>
      <c r="I114" s="2">
        <f>YEAR(Registros[[#This Row],[Fecha]])</f>
        <v>2026</v>
      </c>
      <c r="J114" t="b">
        <f>OR(ISNUMBER(FIND("Sueldo",Registros[[#This Row],[Descripción]])),ISNUMBER(FIND("sueldo",Registros[[#This Row],[Descripción]])))</f>
        <v>0</v>
      </c>
      <c r="K114" t="b">
        <f>OR(ISNUMBER(FIND("Javi",Registros[[#This Row],[Descripción]])),ISNUMBER(FIND("javi",Registros[[#This Row],[Descripción]])))</f>
        <v>0</v>
      </c>
    </row>
    <row r="115" spans="2:11" ht="12.75" x14ac:dyDescent="0.2">
      <c r="B115" s="12">
        <v>46122</v>
      </c>
      <c r="C115" s="8" t="s">
        <v>143</v>
      </c>
      <c r="D115" s="8" t="s">
        <v>8</v>
      </c>
      <c r="E115" s="8" t="s">
        <v>25</v>
      </c>
      <c r="F115" s="52"/>
      <c r="G115" s="9">
        <v>2300</v>
      </c>
      <c r="H115" s="2">
        <f>MONTH(Registros[[#This Row],[Fecha]])</f>
        <v>4</v>
      </c>
      <c r="I115" s="2">
        <f>YEAR(Registros[[#This Row],[Fecha]])</f>
        <v>2026</v>
      </c>
      <c r="J115" t="b">
        <f>OR(ISNUMBER(FIND("Sueldo",Registros[[#This Row],[Descripción]])),ISNUMBER(FIND("sueldo",Registros[[#This Row],[Descripción]])))</f>
        <v>0</v>
      </c>
      <c r="K115" t="b">
        <f>OR(ISNUMBER(FIND("Javi",Registros[[#This Row],[Descripción]])),ISNUMBER(FIND("javi",Registros[[#This Row],[Descripción]])))</f>
        <v>0</v>
      </c>
    </row>
    <row r="116" spans="2:11" ht="12.75" x14ac:dyDescent="0.2">
      <c r="B116" s="12">
        <v>46123</v>
      </c>
      <c r="C116" s="8" t="s">
        <v>144</v>
      </c>
      <c r="D116" s="8" t="s">
        <v>8</v>
      </c>
      <c r="E116" s="8" t="s">
        <v>15</v>
      </c>
      <c r="F116" s="52"/>
      <c r="G116" s="9">
        <v>52910</v>
      </c>
      <c r="H116" s="79">
        <f>MONTH(Registros[[#This Row],[Fecha]])</f>
        <v>4</v>
      </c>
      <c r="I116">
        <f>YEAR(Registros[[#This Row],[Fecha]])</f>
        <v>2026</v>
      </c>
      <c r="J116" t="b">
        <f>OR(ISNUMBER(FIND("Sueldo",Registros[[#This Row],[Descripción]])),ISNUMBER(FIND("sueldo",Registros[[#This Row],[Descripción]])))</f>
        <v>0</v>
      </c>
      <c r="K116" t="b">
        <f>OR(ISNUMBER(FIND("Javi",Registros[[#This Row],[Descripción]])),ISNUMBER(FIND("javi",Registros[[#This Row],[Descripción]])))</f>
        <v>0</v>
      </c>
    </row>
    <row r="117" spans="2:11" ht="12.75" x14ac:dyDescent="0.2">
      <c r="B117" s="12">
        <v>46125</v>
      </c>
      <c r="C117" s="8" t="s">
        <v>145</v>
      </c>
      <c r="D117" s="8" t="s">
        <v>13</v>
      </c>
      <c r="E117" s="8" t="s">
        <v>23</v>
      </c>
      <c r="F117" s="52"/>
      <c r="G117" s="9">
        <v>6814</v>
      </c>
      <c r="H117" s="79">
        <f>MONTH(Registros[[#This Row],[Fecha]])</f>
        <v>4</v>
      </c>
      <c r="I117">
        <f>YEAR(Registros[[#This Row],[Fecha]])</f>
        <v>2026</v>
      </c>
      <c r="J117" t="b">
        <f>OR(ISNUMBER(FIND("Sueldo",Registros[[#This Row],[Descripción]])),ISNUMBER(FIND("sueldo",Registros[[#This Row],[Descripción]])))</f>
        <v>0</v>
      </c>
      <c r="K117" t="b">
        <f>OR(ISNUMBER(FIND("Javi",Registros[[#This Row],[Descripción]])),ISNUMBER(FIND("javi",Registros[[#This Row],[Descripción]])))</f>
        <v>0</v>
      </c>
    </row>
    <row r="118" spans="2:11" ht="12.75" x14ac:dyDescent="0.2">
      <c r="B118" s="12">
        <v>46125</v>
      </c>
      <c r="C118" s="3" t="s">
        <v>140</v>
      </c>
      <c r="D118" s="3" t="s">
        <v>8</v>
      </c>
      <c r="E118" s="3" t="s">
        <v>25</v>
      </c>
      <c r="F118" s="52"/>
      <c r="G118" s="9">
        <v>-10196</v>
      </c>
      <c r="H118" s="79">
        <f>MONTH(Registros[[#This Row],[Fecha]])</f>
        <v>4</v>
      </c>
      <c r="I118">
        <f>YEAR(Registros[[#This Row],[Fecha]])</f>
        <v>2026</v>
      </c>
      <c r="J118" t="b">
        <f>OR(ISNUMBER(FIND("Sueldo",Registros[[#This Row],[Descripción]])),ISNUMBER(FIND("sueldo",Registros[[#This Row],[Descripción]])))</f>
        <v>0</v>
      </c>
      <c r="K118" t="b">
        <f>OR(ISNUMBER(FIND("Javi",Registros[[#This Row],[Descripción]])),ISNUMBER(FIND("javi",Registros[[#This Row],[Descripción]])))</f>
        <v>0</v>
      </c>
    </row>
    <row r="119" spans="2:11" ht="12.75" x14ac:dyDescent="0.2">
      <c r="B119" s="12">
        <v>46125</v>
      </c>
      <c r="C119" s="8" t="s">
        <v>146</v>
      </c>
      <c r="D119" s="8" t="s">
        <v>7</v>
      </c>
      <c r="E119" s="8"/>
      <c r="F119" s="52">
        <v>5744</v>
      </c>
      <c r="G119" s="9"/>
      <c r="H119" s="79">
        <f>MONTH(Registros[[#This Row],[Fecha]])</f>
        <v>4</v>
      </c>
      <c r="I119">
        <f>YEAR(Registros[[#This Row],[Fecha]])</f>
        <v>2026</v>
      </c>
      <c r="J119" t="b">
        <f>OR(ISNUMBER(FIND("Sueldo",Registros[[#This Row],[Descripción]])),ISNUMBER(FIND("sueldo",Registros[[#This Row],[Descripción]])))</f>
        <v>0</v>
      </c>
      <c r="K119" t="b">
        <f>OR(ISNUMBER(FIND("Javi",Registros[[#This Row],[Descripción]])),ISNUMBER(FIND("javi",Registros[[#This Row],[Descripción]])))</f>
        <v>0</v>
      </c>
    </row>
    <row r="120" spans="2:11" ht="12.75" x14ac:dyDescent="0.2">
      <c r="B120" s="12">
        <v>46125</v>
      </c>
      <c r="C120" s="8" t="s">
        <v>140</v>
      </c>
      <c r="D120" s="8" t="s">
        <v>8</v>
      </c>
      <c r="E120" s="8" t="s">
        <v>25</v>
      </c>
      <c r="F120" s="52"/>
      <c r="G120" s="9">
        <v>-4402</v>
      </c>
      <c r="H120" s="79">
        <f>MONTH(Registros[[#This Row],[Fecha]])</f>
        <v>4</v>
      </c>
      <c r="I120">
        <f>YEAR(Registros[[#This Row],[Fecha]])</f>
        <v>2026</v>
      </c>
      <c r="J120" t="b">
        <f>OR(ISNUMBER(FIND("Sueldo",Registros[[#This Row],[Descripción]])),ISNUMBER(FIND("sueldo",Registros[[#This Row],[Descripción]])))</f>
        <v>0</v>
      </c>
      <c r="K120" t="b">
        <f>OR(ISNUMBER(FIND("Javi",Registros[[#This Row],[Descripción]])),ISNUMBER(FIND("javi",Registros[[#This Row],[Descripción]])))</f>
        <v>0</v>
      </c>
    </row>
    <row r="121" spans="2:11" ht="12.75" x14ac:dyDescent="0.2">
      <c r="B121" s="13"/>
    </row>
    <row r="122" spans="2:11" ht="12.75" x14ac:dyDescent="0.2">
      <c r="B122" s="13"/>
    </row>
    <row r="123" spans="2:11" ht="12.75" x14ac:dyDescent="0.2">
      <c r="B123" s="13"/>
    </row>
    <row r="124" spans="2:11" ht="12.75" x14ac:dyDescent="0.2">
      <c r="B124" s="13"/>
    </row>
    <row r="125" spans="2:11" ht="12.75" x14ac:dyDescent="0.2">
      <c r="B125" s="13"/>
    </row>
    <row r="126" spans="2:11" ht="12.75" x14ac:dyDescent="0.2">
      <c r="B126" s="13"/>
    </row>
    <row r="127" spans="2:11" ht="12.75" x14ac:dyDescent="0.2">
      <c r="B127" s="13"/>
    </row>
    <row r="128" spans="2:11" ht="12.75" x14ac:dyDescent="0.2">
      <c r="B128" s="13"/>
    </row>
    <row r="129" spans="2:2" ht="12.75" x14ac:dyDescent="0.2">
      <c r="B129" s="13"/>
    </row>
    <row r="130" spans="2:2" ht="12.75" x14ac:dyDescent="0.2">
      <c r="B130" s="13"/>
    </row>
    <row r="131" spans="2:2" ht="12.75" x14ac:dyDescent="0.2">
      <c r="B131" s="13"/>
    </row>
    <row r="132" spans="2:2" ht="12.75" x14ac:dyDescent="0.2">
      <c r="B132" s="13"/>
    </row>
    <row r="133" spans="2:2" ht="12.75" x14ac:dyDescent="0.2">
      <c r="B133" s="13"/>
    </row>
    <row r="134" spans="2:2" ht="12.75" x14ac:dyDescent="0.2">
      <c r="B134" s="13"/>
    </row>
    <row r="135" spans="2:2" ht="12.75" x14ac:dyDescent="0.2">
      <c r="B135" s="13"/>
    </row>
    <row r="136" spans="2:2" ht="12.75" x14ac:dyDescent="0.2">
      <c r="B136" s="13"/>
    </row>
    <row r="137" spans="2:2" ht="12.75" x14ac:dyDescent="0.2">
      <c r="B137" s="13"/>
    </row>
    <row r="138" spans="2:2" ht="12.75" x14ac:dyDescent="0.2">
      <c r="B138" s="13"/>
    </row>
    <row r="139" spans="2:2" ht="12.75" x14ac:dyDescent="0.2">
      <c r="B139" s="13"/>
    </row>
    <row r="140" spans="2:2" ht="12.75" x14ac:dyDescent="0.2">
      <c r="B140" s="13"/>
    </row>
    <row r="141" spans="2:2" ht="12.75" x14ac:dyDescent="0.2">
      <c r="B141" s="13"/>
    </row>
    <row r="142" spans="2:2" ht="12.75" x14ac:dyDescent="0.2">
      <c r="B142" s="13"/>
    </row>
    <row r="143" spans="2:2" ht="12.75" x14ac:dyDescent="0.2">
      <c r="B143" s="13"/>
    </row>
    <row r="144" spans="2:2" ht="12.75" x14ac:dyDescent="0.2">
      <c r="B144" s="13"/>
    </row>
    <row r="145" spans="2:2" ht="12.75" x14ac:dyDescent="0.2">
      <c r="B145" s="13"/>
    </row>
    <row r="146" spans="2:2" ht="12.75" x14ac:dyDescent="0.2">
      <c r="B146" s="13"/>
    </row>
    <row r="147" spans="2:2" ht="12.75" x14ac:dyDescent="0.2">
      <c r="B147" s="13"/>
    </row>
    <row r="148" spans="2:2" ht="12.75" x14ac:dyDescent="0.2">
      <c r="B148" s="13"/>
    </row>
    <row r="149" spans="2:2" ht="12.75" x14ac:dyDescent="0.2">
      <c r="B149" s="13"/>
    </row>
    <row r="150" spans="2:2" ht="12.75" x14ac:dyDescent="0.2">
      <c r="B150" s="13"/>
    </row>
    <row r="151" spans="2:2" ht="12.75" x14ac:dyDescent="0.2">
      <c r="B151" s="13"/>
    </row>
    <row r="152" spans="2:2" ht="12.75" x14ac:dyDescent="0.2">
      <c r="B152" s="13"/>
    </row>
    <row r="153" spans="2:2" ht="12.75" x14ac:dyDescent="0.2">
      <c r="B153" s="13"/>
    </row>
    <row r="154" spans="2:2" ht="12.75" x14ac:dyDescent="0.2">
      <c r="B154" s="13"/>
    </row>
    <row r="155" spans="2:2" ht="12.75" x14ac:dyDescent="0.2">
      <c r="B155" s="13"/>
    </row>
    <row r="156" spans="2:2" ht="12.75" x14ac:dyDescent="0.2">
      <c r="B156" s="13"/>
    </row>
    <row r="157" spans="2:2" ht="12.75" x14ac:dyDescent="0.2">
      <c r="B157" s="13"/>
    </row>
    <row r="158" spans="2:2" ht="12.75" x14ac:dyDescent="0.2">
      <c r="B158" s="13"/>
    </row>
    <row r="159" spans="2:2" ht="12.75" x14ac:dyDescent="0.2">
      <c r="B159" s="13"/>
    </row>
    <row r="160" spans="2:2" ht="12.75" x14ac:dyDescent="0.2">
      <c r="B160" s="13"/>
    </row>
    <row r="161" spans="2:2" ht="12.75" x14ac:dyDescent="0.2">
      <c r="B161" s="13"/>
    </row>
    <row r="162" spans="2:2" ht="12.75" x14ac:dyDescent="0.2">
      <c r="B162" s="13"/>
    </row>
    <row r="163" spans="2:2" ht="12.75" x14ac:dyDescent="0.2">
      <c r="B163" s="13"/>
    </row>
    <row r="164" spans="2:2" ht="12.75" x14ac:dyDescent="0.2">
      <c r="B164" s="13"/>
    </row>
    <row r="165" spans="2:2" ht="12.75" x14ac:dyDescent="0.2">
      <c r="B165" s="13"/>
    </row>
    <row r="166" spans="2:2" ht="12.75" x14ac:dyDescent="0.2">
      <c r="B166" s="13"/>
    </row>
    <row r="167" spans="2:2" ht="12.75" x14ac:dyDescent="0.2">
      <c r="B167" s="13"/>
    </row>
    <row r="168" spans="2:2" ht="12.75" x14ac:dyDescent="0.2">
      <c r="B168" s="13"/>
    </row>
    <row r="169" spans="2:2" ht="12.75" x14ac:dyDescent="0.2">
      <c r="B169" s="13"/>
    </row>
    <row r="170" spans="2:2" ht="12.75" x14ac:dyDescent="0.2">
      <c r="B170" s="13"/>
    </row>
    <row r="171" spans="2:2" ht="12.75" x14ac:dyDescent="0.2">
      <c r="B171" s="13"/>
    </row>
    <row r="172" spans="2:2" ht="12.75" x14ac:dyDescent="0.2">
      <c r="B172" s="13"/>
    </row>
    <row r="173" spans="2:2" ht="12.75" x14ac:dyDescent="0.2">
      <c r="B173" s="13"/>
    </row>
    <row r="174" spans="2:2" ht="12.75" x14ac:dyDescent="0.2">
      <c r="B174" s="13"/>
    </row>
    <row r="175" spans="2:2" ht="12.75" x14ac:dyDescent="0.2">
      <c r="B175" s="13"/>
    </row>
    <row r="176" spans="2:2" ht="12.75" x14ac:dyDescent="0.2">
      <c r="B176" s="13"/>
    </row>
    <row r="177" spans="2:2" ht="12.75" x14ac:dyDescent="0.2">
      <c r="B177" s="13"/>
    </row>
    <row r="178" spans="2:2" ht="12.75" x14ac:dyDescent="0.2">
      <c r="B178" s="13"/>
    </row>
    <row r="179" spans="2:2" ht="12.75" x14ac:dyDescent="0.2">
      <c r="B179" s="13"/>
    </row>
    <row r="180" spans="2:2" ht="12.75" x14ac:dyDescent="0.2">
      <c r="B180" s="13"/>
    </row>
    <row r="181" spans="2:2" ht="12.75" x14ac:dyDescent="0.2">
      <c r="B181" s="13"/>
    </row>
    <row r="182" spans="2:2" ht="12.75" x14ac:dyDescent="0.2">
      <c r="B182" s="13"/>
    </row>
    <row r="183" spans="2:2" ht="12.75" x14ac:dyDescent="0.2">
      <c r="B183" s="13"/>
    </row>
    <row r="184" spans="2:2" ht="12.75" x14ac:dyDescent="0.2">
      <c r="B184" s="13"/>
    </row>
    <row r="185" spans="2:2" ht="12.75" x14ac:dyDescent="0.2">
      <c r="B185" s="13"/>
    </row>
    <row r="186" spans="2:2" ht="12.75" x14ac:dyDescent="0.2">
      <c r="B186" s="13"/>
    </row>
    <row r="187" spans="2:2" ht="12.75" x14ac:dyDescent="0.2">
      <c r="B187" s="13"/>
    </row>
    <row r="188" spans="2:2" ht="12.75" x14ac:dyDescent="0.2">
      <c r="B188" s="13"/>
    </row>
    <row r="189" spans="2:2" ht="12.75" x14ac:dyDescent="0.2">
      <c r="B189" s="13"/>
    </row>
    <row r="190" spans="2:2" ht="12.75" x14ac:dyDescent="0.2">
      <c r="B190" s="13"/>
    </row>
    <row r="191" spans="2:2" ht="12.75" x14ac:dyDescent="0.2">
      <c r="B191" s="13"/>
    </row>
    <row r="192" spans="2:2" ht="12.75" x14ac:dyDescent="0.2">
      <c r="B192" s="13"/>
    </row>
    <row r="193" spans="2:2" ht="12.75" x14ac:dyDescent="0.2">
      <c r="B193" s="13"/>
    </row>
    <row r="194" spans="2:2" ht="12.75" x14ac:dyDescent="0.2">
      <c r="B194" s="13"/>
    </row>
    <row r="195" spans="2:2" ht="12.75" x14ac:dyDescent="0.2">
      <c r="B195" s="13"/>
    </row>
    <row r="196" spans="2:2" ht="12.75" x14ac:dyDescent="0.2">
      <c r="B196" s="13"/>
    </row>
    <row r="197" spans="2:2" ht="12.75" x14ac:dyDescent="0.2">
      <c r="B197" s="13"/>
    </row>
    <row r="198" spans="2:2" ht="12.75" x14ac:dyDescent="0.2">
      <c r="B198" s="13"/>
    </row>
    <row r="199" spans="2:2" ht="12.75" x14ac:dyDescent="0.2">
      <c r="B199" s="13"/>
    </row>
    <row r="200" spans="2:2" ht="12.75" x14ac:dyDescent="0.2">
      <c r="B200" s="13"/>
    </row>
    <row r="201" spans="2:2" ht="12.75" x14ac:dyDescent="0.2">
      <c r="B201" s="13"/>
    </row>
    <row r="202" spans="2:2" ht="12.75" x14ac:dyDescent="0.2">
      <c r="B202" s="13"/>
    </row>
    <row r="203" spans="2:2" ht="12.75" x14ac:dyDescent="0.2">
      <c r="B203" s="13"/>
    </row>
    <row r="204" spans="2:2" ht="12.75" x14ac:dyDescent="0.2">
      <c r="B204" s="13"/>
    </row>
    <row r="205" spans="2:2" ht="12.75" x14ac:dyDescent="0.2">
      <c r="B205" s="13"/>
    </row>
    <row r="206" spans="2:2" ht="12.75" x14ac:dyDescent="0.2">
      <c r="B206" s="13"/>
    </row>
    <row r="207" spans="2:2" ht="12.75" x14ac:dyDescent="0.2">
      <c r="B207" s="13"/>
    </row>
    <row r="208" spans="2:2" ht="12.75" x14ac:dyDescent="0.2">
      <c r="B208" s="13"/>
    </row>
    <row r="209" spans="2:2" ht="12.75" x14ac:dyDescent="0.2">
      <c r="B209" s="13"/>
    </row>
    <row r="210" spans="2:2" ht="12.75" x14ac:dyDescent="0.2">
      <c r="B210" s="13"/>
    </row>
    <row r="211" spans="2:2" ht="12.75" x14ac:dyDescent="0.2">
      <c r="B211" s="13"/>
    </row>
    <row r="212" spans="2:2" ht="12.75" x14ac:dyDescent="0.2">
      <c r="B212" s="13"/>
    </row>
    <row r="213" spans="2:2" ht="12.75" x14ac:dyDescent="0.2">
      <c r="B213" s="13"/>
    </row>
    <row r="214" spans="2:2" ht="12.75" x14ac:dyDescent="0.2">
      <c r="B214" s="13"/>
    </row>
    <row r="215" spans="2:2" ht="12.75" x14ac:dyDescent="0.2">
      <c r="B215" s="13"/>
    </row>
    <row r="216" spans="2:2" ht="12.75" x14ac:dyDescent="0.2">
      <c r="B216" s="13"/>
    </row>
    <row r="217" spans="2:2" ht="12.75" x14ac:dyDescent="0.2">
      <c r="B217" s="13"/>
    </row>
    <row r="218" spans="2:2" ht="12.75" x14ac:dyDescent="0.2">
      <c r="B218" s="13"/>
    </row>
    <row r="219" spans="2:2" ht="12.75" x14ac:dyDescent="0.2">
      <c r="B219" s="13"/>
    </row>
    <row r="220" spans="2:2" ht="12.75" x14ac:dyDescent="0.2">
      <c r="B220" s="13"/>
    </row>
    <row r="221" spans="2:2" ht="12.75" x14ac:dyDescent="0.2">
      <c r="B221" s="13"/>
    </row>
    <row r="222" spans="2:2" ht="12.75" x14ac:dyDescent="0.2">
      <c r="B222" s="13"/>
    </row>
    <row r="223" spans="2:2" ht="12.75" x14ac:dyDescent="0.2">
      <c r="B223" s="13"/>
    </row>
    <row r="224" spans="2:2" ht="12.75" x14ac:dyDescent="0.2">
      <c r="B224" s="13"/>
    </row>
    <row r="225" spans="2:2" ht="12.75" x14ac:dyDescent="0.2">
      <c r="B225" s="13"/>
    </row>
    <row r="226" spans="2:2" ht="12.75" x14ac:dyDescent="0.2">
      <c r="B226" s="13"/>
    </row>
    <row r="227" spans="2:2" ht="12.75" x14ac:dyDescent="0.2">
      <c r="B227" s="13"/>
    </row>
    <row r="228" spans="2:2" ht="12.75" x14ac:dyDescent="0.2">
      <c r="B228" s="13"/>
    </row>
    <row r="229" spans="2:2" ht="12.75" x14ac:dyDescent="0.2">
      <c r="B229" s="13"/>
    </row>
    <row r="230" spans="2:2" ht="12.75" x14ac:dyDescent="0.2">
      <c r="B230" s="13"/>
    </row>
    <row r="231" spans="2:2" ht="12.75" x14ac:dyDescent="0.2">
      <c r="B231" s="13"/>
    </row>
    <row r="232" spans="2:2" ht="12.75" x14ac:dyDescent="0.2">
      <c r="B232" s="13"/>
    </row>
    <row r="233" spans="2:2" ht="12.75" x14ac:dyDescent="0.2">
      <c r="B233" s="13"/>
    </row>
    <row r="234" spans="2:2" ht="12.75" x14ac:dyDescent="0.2">
      <c r="B234" s="13"/>
    </row>
    <row r="235" spans="2:2" ht="12.75" x14ac:dyDescent="0.2">
      <c r="B235" s="13"/>
    </row>
    <row r="236" spans="2:2" ht="12.75" x14ac:dyDescent="0.2">
      <c r="B236" s="13"/>
    </row>
    <row r="237" spans="2:2" ht="12.75" x14ac:dyDescent="0.2">
      <c r="B237" s="13"/>
    </row>
    <row r="238" spans="2:2" ht="12.75" x14ac:dyDescent="0.2">
      <c r="B238" s="13"/>
    </row>
    <row r="239" spans="2:2" ht="12.75" x14ac:dyDescent="0.2">
      <c r="B239" s="13"/>
    </row>
    <row r="240" spans="2:2" ht="12.75" x14ac:dyDescent="0.2">
      <c r="B240" s="13"/>
    </row>
    <row r="241" spans="2:2" ht="12.75" x14ac:dyDescent="0.2">
      <c r="B241" s="13"/>
    </row>
    <row r="242" spans="2:2" ht="12.75" x14ac:dyDescent="0.2">
      <c r="B242" s="13"/>
    </row>
    <row r="243" spans="2:2" ht="12.75" x14ac:dyDescent="0.2">
      <c r="B243" s="13"/>
    </row>
    <row r="244" spans="2:2" ht="12.75" x14ac:dyDescent="0.2">
      <c r="B244" s="13"/>
    </row>
    <row r="245" spans="2:2" ht="12.75" x14ac:dyDescent="0.2">
      <c r="B245" s="13"/>
    </row>
    <row r="246" spans="2:2" ht="12.75" x14ac:dyDescent="0.2">
      <c r="B246" s="13"/>
    </row>
    <row r="247" spans="2:2" ht="12.75" x14ac:dyDescent="0.2">
      <c r="B247" s="13"/>
    </row>
    <row r="248" spans="2:2" ht="12.75" x14ac:dyDescent="0.2">
      <c r="B248" s="13"/>
    </row>
    <row r="249" spans="2:2" ht="12.75" x14ac:dyDescent="0.2">
      <c r="B249" s="13"/>
    </row>
    <row r="250" spans="2:2" ht="12.75" x14ac:dyDescent="0.2">
      <c r="B250" s="13"/>
    </row>
    <row r="251" spans="2:2" ht="12.75" x14ac:dyDescent="0.2">
      <c r="B251" s="13"/>
    </row>
    <row r="252" spans="2:2" ht="12.75" x14ac:dyDescent="0.2">
      <c r="B252" s="13"/>
    </row>
    <row r="253" spans="2:2" ht="12.75" x14ac:dyDescent="0.2">
      <c r="B253" s="13"/>
    </row>
    <row r="254" spans="2:2" ht="12.75" x14ac:dyDescent="0.2">
      <c r="B254" s="13"/>
    </row>
    <row r="255" spans="2:2" ht="12.75" x14ac:dyDescent="0.2">
      <c r="B255" s="13"/>
    </row>
    <row r="256" spans="2:2" ht="12.75" x14ac:dyDescent="0.2">
      <c r="B256" s="13"/>
    </row>
    <row r="257" spans="2:2" ht="12.75" x14ac:dyDescent="0.2">
      <c r="B257" s="13"/>
    </row>
    <row r="258" spans="2:2" ht="12.75" x14ac:dyDescent="0.2">
      <c r="B258" s="13"/>
    </row>
    <row r="259" spans="2:2" ht="12.75" x14ac:dyDescent="0.2">
      <c r="B259" s="13"/>
    </row>
    <row r="260" spans="2:2" ht="12.75" x14ac:dyDescent="0.2">
      <c r="B260" s="13"/>
    </row>
    <row r="261" spans="2:2" ht="12.75" x14ac:dyDescent="0.2">
      <c r="B261" s="13"/>
    </row>
    <row r="262" spans="2:2" ht="12.75" x14ac:dyDescent="0.2">
      <c r="B262" s="13"/>
    </row>
    <row r="263" spans="2:2" ht="12.75" x14ac:dyDescent="0.2">
      <c r="B263" s="13"/>
    </row>
    <row r="264" spans="2:2" ht="12.75" x14ac:dyDescent="0.2">
      <c r="B264" s="13"/>
    </row>
    <row r="265" spans="2:2" ht="12.75" x14ac:dyDescent="0.2">
      <c r="B265" s="13"/>
    </row>
    <row r="266" spans="2:2" ht="12.75" x14ac:dyDescent="0.2">
      <c r="B266" s="13"/>
    </row>
    <row r="267" spans="2:2" ht="12.75" x14ac:dyDescent="0.2">
      <c r="B267" s="13"/>
    </row>
    <row r="268" spans="2:2" ht="12.75" x14ac:dyDescent="0.2">
      <c r="B268" s="13"/>
    </row>
    <row r="269" spans="2:2" ht="12.75" x14ac:dyDescent="0.2">
      <c r="B269" s="13"/>
    </row>
    <row r="270" spans="2:2" ht="12.75" x14ac:dyDescent="0.2">
      <c r="B270" s="13"/>
    </row>
    <row r="271" spans="2:2" ht="12.75" x14ac:dyDescent="0.2">
      <c r="B271" s="13"/>
    </row>
    <row r="272" spans="2:2" ht="12.75" x14ac:dyDescent="0.2">
      <c r="B272" s="13"/>
    </row>
    <row r="273" spans="2:2" ht="12.75" x14ac:dyDescent="0.2">
      <c r="B273" s="13"/>
    </row>
    <row r="274" spans="2:2" ht="12.75" x14ac:dyDescent="0.2">
      <c r="B274" s="13"/>
    </row>
    <row r="275" spans="2:2" ht="12.75" x14ac:dyDescent="0.2">
      <c r="B275" s="13"/>
    </row>
    <row r="276" spans="2:2" ht="12.75" x14ac:dyDescent="0.2">
      <c r="B276" s="13"/>
    </row>
    <row r="277" spans="2:2" ht="12.75" x14ac:dyDescent="0.2">
      <c r="B277" s="13"/>
    </row>
    <row r="278" spans="2:2" ht="12.75" x14ac:dyDescent="0.2">
      <c r="B278" s="13"/>
    </row>
    <row r="279" spans="2:2" ht="12.75" x14ac:dyDescent="0.2">
      <c r="B279" s="13"/>
    </row>
    <row r="280" spans="2:2" ht="12.75" x14ac:dyDescent="0.2">
      <c r="B280" s="13"/>
    </row>
    <row r="281" spans="2:2" ht="12.75" x14ac:dyDescent="0.2">
      <c r="B281" s="13"/>
    </row>
    <row r="282" spans="2:2" ht="12.75" x14ac:dyDescent="0.2">
      <c r="B282" s="13"/>
    </row>
    <row r="283" spans="2:2" ht="12.75" x14ac:dyDescent="0.2">
      <c r="B283" s="13"/>
    </row>
    <row r="284" spans="2:2" ht="12.75" x14ac:dyDescent="0.2">
      <c r="B284" s="13"/>
    </row>
    <row r="285" spans="2:2" ht="12.75" x14ac:dyDescent="0.2">
      <c r="B285" s="13"/>
    </row>
    <row r="286" spans="2:2" ht="12.75" x14ac:dyDescent="0.2">
      <c r="B286" s="13"/>
    </row>
    <row r="287" spans="2:2" ht="12.75" x14ac:dyDescent="0.2">
      <c r="B287" s="13"/>
    </row>
    <row r="288" spans="2:2" ht="12.75" x14ac:dyDescent="0.2">
      <c r="B288" s="13"/>
    </row>
    <row r="289" spans="2:2" ht="12.75" x14ac:dyDescent="0.2">
      <c r="B289" s="13"/>
    </row>
    <row r="290" spans="2:2" ht="12.75" x14ac:dyDescent="0.2">
      <c r="B290" s="13"/>
    </row>
    <row r="291" spans="2:2" ht="12.75" x14ac:dyDescent="0.2">
      <c r="B291" s="13"/>
    </row>
    <row r="292" spans="2:2" ht="12.75" x14ac:dyDescent="0.2">
      <c r="B292" s="13"/>
    </row>
    <row r="293" spans="2:2" ht="12.75" x14ac:dyDescent="0.2">
      <c r="B293" s="13"/>
    </row>
    <row r="294" spans="2:2" ht="12.75" x14ac:dyDescent="0.2">
      <c r="B294" s="13"/>
    </row>
    <row r="295" spans="2:2" ht="12.75" x14ac:dyDescent="0.2">
      <c r="B295" s="13"/>
    </row>
    <row r="296" spans="2:2" ht="12.75" x14ac:dyDescent="0.2">
      <c r="B296" s="13"/>
    </row>
    <row r="297" spans="2:2" ht="12.75" x14ac:dyDescent="0.2">
      <c r="B297" s="13"/>
    </row>
    <row r="298" spans="2:2" ht="12.75" x14ac:dyDescent="0.2">
      <c r="B298" s="13"/>
    </row>
    <row r="299" spans="2:2" ht="12.75" x14ac:dyDescent="0.2">
      <c r="B299" s="13"/>
    </row>
    <row r="300" spans="2:2" ht="12.75" x14ac:dyDescent="0.2">
      <c r="B300" s="13"/>
    </row>
    <row r="301" spans="2:2" ht="12.75" x14ac:dyDescent="0.2">
      <c r="B301" s="13"/>
    </row>
    <row r="302" spans="2:2" ht="12.75" x14ac:dyDescent="0.2">
      <c r="B302" s="13"/>
    </row>
    <row r="303" spans="2:2" ht="12.75" x14ac:dyDescent="0.2">
      <c r="B303" s="13"/>
    </row>
    <row r="304" spans="2:2" ht="12.75" x14ac:dyDescent="0.2">
      <c r="B304" s="13"/>
    </row>
    <row r="305" spans="2:2" ht="12.75" x14ac:dyDescent="0.2">
      <c r="B305" s="13"/>
    </row>
    <row r="306" spans="2:2" ht="12.75" x14ac:dyDescent="0.2">
      <c r="B306" s="13"/>
    </row>
    <row r="307" spans="2:2" ht="12.75" x14ac:dyDescent="0.2">
      <c r="B307" s="13"/>
    </row>
    <row r="308" spans="2:2" ht="12.75" x14ac:dyDescent="0.2">
      <c r="B308" s="13"/>
    </row>
    <row r="309" spans="2:2" ht="12.75" x14ac:dyDescent="0.2">
      <c r="B309" s="13"/>
    </row>
    <row r="310" spans="2:2" ht="12.75" x14ac:dyDescent="0.2">
      <c r="B310" s="13"/>
    </row>
    <row r="311" spans="2:2" ht="12.75" x14ac:dyDescent="0.2">
      <c r="B311" s="13"/>
    </row>
    <row r="312" spans="2:2" ht="12.75" x14ac:dyDescent="0.2">
      <c r="B312" s="13"/>
    </row>
    <row r="313" spans="2:2" ht="12.75" x14ac:dyDescent="0.2">
      <c r="B313" s="13"/>
    </row>
    <row r="314" spans="2:2" ht="12.75" x14ac:dyDescent="0.2">
      <c r="B314" s="13"/>
    </row>
    <row r="315" spans="2:2" ht="12.75" x14ac:dyDescent="0.2">
      <c r="B315" s="13"/>
    </row>
    <row r="316" spans="2:2" ht="12.75" x14ac:dyDescent="0.2">
      <c r="B316" s="13"/>
    </row>
    <row r="317" spans="2:2" ht="12.75" x14ac:dyDescent="0.2">
      <c r="B317" s="13"/>
    </row>
    <row r="318" spans="2:2" ht="12.75" x14ac:dyDescent="0.2">
      <c r="B318" s="13"/>
    </row>
    <row r="319" spans="2:2" ht="12.75" x14ac:dyDescent="0.2">
      <c r="B319" s="13"/>
    </row>
    <row r="320" spans="2:2" ht="12.75" x14ac:dyDescent="0.2">
      <c r="B320" s="13"/>
    </row>
    <row r="321" spans="2:2" ht="12.75" x14ac:dyDescent="0.2">
      <c r="B321" s="13"/>
    </row>
    <row r="322" spans="2:2" ht="12.75" x14ac:dyDescent="0.2">
      <c r="B322" s="13"/>
    </row>
    <row r="323" spans="2:2" ht="12.75" x14ac:dyDescent="0.2">
      <c r="B323" s="13"/>
    </row>
    <row r="324" spans="2:2" ht="12.75" x14ac:dyDescent="0.2">
      <c r="B324" s="13"/>
    </row>
    <row r="325" spans="2:2" ht="12.75" x14ac:dyDescent="0.2">
      <c r="B325" s="13"/>
    </row>
    <row r="326" spans="2:2" ht="12.75" x14ac:dyDescent="0.2">
      <c r="B326" s="13"/>
    </row>
    <row r="327" spans="2:2" ht="12.75" x14ac:dyDescent="0.2">
      <c r="B327" s="13"/>
    </row>
    <row r="328" spans="2:2" ht="12.75" x14ac:dyDescent="0.2">
      <c r="B328" s="13"/>
    </row>
    <row r="329" spans="2:2" ht="12.75" x14ac:dyDescent="0.2">
      <c r="B329" s="13"/>
    </row>
    <row r="330" spans="2:2" ht="12.75" x14ac:dyDescent="0.2">
      <c r="B330" s="13"/>
    </row>
    <row r="331" spans="2:2" ht="12.75" x14ac:dyDescent="0.2">
      <c r="B331" s="13"/>
    </row>
    <row r="332" spans="2:2" ht="12.75" x14ac:dyDescent="0.2">
      <c r="B332" s="13"/>
    </row>
    <row r="333" spans="2:2" ht="12.75" x14ac:dyDescent="0.2">
      <c r="B333" s="13"/>
    </row>
    <row r="334" spans="2:2" ht="12.75" x14ac:dyDescent="0.2">
      <c r="B334" s="13"/>
    </row>
    <row r="335" spans="2:2" ht="12.75" x14ac:dyDescent="0.2">
      <c r="B335" s="13"/>
    </row>
    <row r="336" spans="2:2" ht="12.75" x14ac:dyDescent="0.2">
      <c r="B336" s="13"/>
    </row>
    <row r="337" spans="2:2" ht="12.75" x14ac:dyDescent="0.2">
      <c r="B337" s="13"/>
    </row>
    <row r="338" spans="2:2" ht="12.75" x14ac:dyDescent="0.2">
      <c r="B338" s="13"/>
    </row>
    <row r="339" spans="2:2" ht="12.75" x14ac:dyDescent="0.2">
      <c r="B339" s="13"/>
    </row>
    <row r="340" spans="2:2" ht="12.75" x14ac:dyDescent="0.2">
      <c r="B340" s="13"/>
    </row>
    <row r="341" spans="2:2" ht="12.75" x14ac:dyDescent="0.2">
      <c r="B341" s="13"/>
    </row>
    <row r="342" spans="2:2" ht="12.75" x14ac:dyDescent="0.2">
      <c r="B342" s="13"/>
    </row>
    <row r="343" spans="2:2" ht="12.75" x14ac:dyDescent="0.2">
      <c r="B343" s="13"/>
    </row>
    <row r="344" spans="2:2" ht="12.75" x14ac:dyDescent="0.2">
      <c r="B344" s="13"/>
    </row>
    <row r="345" spans="2:2" ht="12.75" x14ac:dyDescent="0.2">
      <c r="B345" s="13"/>
    </row>
    <row r="346" spans="2:2" ht="12.75" x14ac:dyDescent="0.2">
      <c r="B346" s="13"/>
    </row>
    <row r="347" spans="2:2" ht="12.75" x14ac:dyDescent="0.2">
      <c r="B347" s="13"/>
    </row>
    <row r="348" spans="2:2" ht="12.75" x14ac:dyDescent="0.2">
      <c r="B348" s="13"/>
    </row>
    <row r="349" spans="2:2" ht="12.75" x14ac:dyDescent="0.2">
      <c r="B349" s="13"/>
    </row>
    <row r="350" spans="2:2" ht="12.75" x14ac:dyDescent="0.2">
      <c r="B350" s="13"/>
    </row>
    <row r="351" spans="2:2" ht="12.75" x14ac:dyDescent="0.2">
      <c r="B351" s="13"/>
    </row>
    <row r="352" spans="2:2" ht="12.75" x14ac:dyDescent="0.2">
      <c r="B352" s="13"/>
    </row>
    <row r="353" spans="2:2" ht="12.75" x14ac:dyDescent="0.2">
      <c r="B353" s="13"/>
    </row>
    <row r="354" spans="2:2" ht="12.75" x14ac:dyDescent="0.2">
      <c r="B354" s="13"/>
    </row>
    <row r="355" spans="2:2" ht="12.75" x14ac:dyDescent="0.2">
      <c r="B355" s="13"/>
    </row>
    <row r="356" spans="2:2" ht="12.75" x14ac:dyDescent="0.2">
      <c r="B356" s="13"/>
    </row>
    <row r="357" spans="2:2" ht="12.75" x14ac:dyDescent="0.2">
      <c r="B357" s="13"/>
    </row>
    <row r="358" spans="2:2" ht="12.75" x14ac:dyDescent="0.2">
      <c r="B358" s="13"/>
    </row>
    <row r="359" spans="2:2" ht="12.75" x14ac:dyDescent="0.2">
      <c r="B359" s="13"/>
    </row>
    <row r="360" spans="2:2" ht="12.75" x14ac:dyDescent="0.2">
      <c r="B360" s="13"/>
    </row>
    <row r="361" spans="2:2" ht="12.75" x14ac:dyDescent="0.2">
      <c r="B361" s="13"/>
    </row>
    <row r="362" spans="2:2" ht="12.75" x14ac:dyDescent="0.2">
      <c r="B362" s="13"/>
    </row>
    <row r="363" spans="2:2" ht="12.75" x14ac:dyDescent="0.2">
      <c r="B363" s="13"/>
    </row>
    <row r="364" spans="2:2" ht="12.75" x14ac:dyDescent="0.2">
      <c r="B364" s="13"/>
    </row>
    <row r="365" spans="2:2" ht="12.75" x14ac:dyDescent="0.2">
      <c r="B365" s="13"/>
    </row>
    <row r="366" spans="2:2" ht="12.75" x14ac:dyDescent="0.2">
      <c r="B366" s="13"/>
    </row>
    <row r="367" spans="2:2" ht="12.75" x14ac:dyDescent="0.2">
      <c r="B367" s="13"/>
    </row>
    <row r="368" spans="2:2" ht="12.75" x14ac:dyDescent="0.2">
      <c r="B368" s="13"/>
    </row>
    <row r="369" spans="2:2" ht="12.75" x14ac:dyDescent="0.2">
      <c r="B369" s="13"/>
    </row>
    <row r="370" spans="2:2" ht="12.75" x14ac:dyDescent="0.2">
      <c r="B370" s="13"/>
    </row>
    <row r="371" spans="2:2" ht="12.75" x14ac:dyDescent="0.2">
      <c r="B371" s="13"/>
    </row>
    <row r="372" spans="2:2" ht="12.75" x14ac:dyDescent="0.2">
      <c r="B372" s="13"/>
    </row>
    <row r="373" spans="2:2" ht="12.75" x14ac:dyDescent="0.2">
      <c r="B373" s="13"/>
    </row>
    <row r="374" spans="2:2" ht="12.75" x14ac:dyDescent="0.2">
      <c r="B374" s="13"/>
    </row>
    <row r="375" spans="2:2" ht="12.75" x14ac:dyDescent="0.2">
      <c r="B375" s="13"/>
    </row>
    <row r="376" spans="2:2" ht="12.75" x14ac:dyDescent="0.2">
      <c r="B376" s="13"/>
    </row>
    <row r="377" spans="2:2" ht="12.75" x14ac:dyDescent="0.2">
      <c r="B377" s="13"/>
    </row>
    <row r="378" spans="2:2" ht="12.75" x14ac:dyDescent="0.2">
      <c r="B378" s="13"/>
    </row>
    <row r="379" spans="2:2" ht="12.75" x14ac:dyDescent="0.2">
      <c r="B379" s="13"/>
    </row>
    <row r="380" spans="2:2" ht="12.75" x14ac:dyDescent="0.2">
      <c r="B380" s="13"/>
    </row>
    <row r="381" spans="2:2" ht="12.75" x14ac:dyDescent="0.2">
      <c r="B381" s="13"/>
    </row>
    <row r="382" spans="2:2" ht="12.75" x14ac:dyDescent="0.2">
      <c r="B382" s="13"/>
    </row>
    <row r="383" spans="2:2" ht="12.75" x14ac:dyDescent="0.2">
      <c r="B383" s="13"/>
    </row>
    <row r="384" spans="2:2" ht="12.75" x14ac:dyDescent="0.2">
      <c r="B384" s="13"/>
    </row>
    <row r="385" spans="2:2" ht="12.75" x14ac:dyDescent="0.2">
      <c r="B385" s="13"/>
    </row>
    <row r="386" spans="2:2" ht="12.75" x14ac:dyDescent="0.2">
      <c r="B386" s="13"/>
    </row>
    <row r="387" spans="2:2" ht="12.75" x14ac:dyDescent="0.2">
      <c r="B387" s="13"/>
    </row>
    <row r="388" spans="2:2" ht="12.75" x14ac:dyDescent="0.2">
      <c r="B388" s="13"/>
    </row>
    <row r="389" spans="2:2" ht="12.75" x14ac:dyDescent="0.2">
      <c r="B389" s="13"/>
    </row>
    <row r="390" spans="2:2" ht="12.75" x14ac:dyDescent="0.2">
      <c r="B390" s="13"/>
    </row>
    <row r="391" spans="2:2" ht="12.75" x14ac:dyDescent="0.2">
      <c r="B391" s="13"/>
    </row>
    <row r="392" spans="2:2" ht="12.75" x14ac:dyDescent="0.2">
      <c r="B392" s="13"/>
    </row>
    <row r="393" spans="2:2" ht="12.75" x14ac:dyDescent="0.2">
      <c r="B393" s="13"/>
    </row>
    <row r="394" spans="2:2" ht="12.75" x14ac:dyDescent="0.2">
      <c r="B394" s="13"/>
    </row>
    <row r="395" spans="2:2" ht="12.75" x14ac:dyDescent="0.2">
      <c r="B395" s="13"/>
    </row>
    <row r="396" spans="2:2" ht="12.75" x14ac:dyDescent="0.2">
      <c r="B396" s="13"/>
    </row>
    <row r="397" spans="2:2" ht="12.75" x14ac:dyDescent="0.2">
      <c r="B397" s="13"/>
    </row>
    <row r="398" spans="2:2" ht="12.75" x14ac:dyDescent="0.2">
      <c r="B398" s="13"/>
    </row>
    <row r="399" spans="2:2" ht="12.75" x14ac:dyDescent="0.2">
      <c r="B399" s="13"/>
    </row>
    <row r="400" spans="2:2" ht="12.75" x14ac:dyDescent="0.2">
      <c r="B400" s="13"/>
    </row>
    <row r="401" spans="2:2" ht="12.75" x14ac:dyDescent="0.2">
      <c r="B401" s="13"/>
    </row>
    <row r="402" spans="2:2" ht="12.75" x14ac:dyDescent="0.2">
      <c r="B402" s="13"/>
    </row>
    <row r="403" spans="2:2" ht="12.75" x14ac:dyDescent="0.2">
      <c r="B403" s="13"/>
    </row>
    <row r="404" spans="2:2" ht="12.75" x14ac:dyDescent="0.2">
      <c r="B404" s="13"/>
    </row>
    <row r="405" spans="2:2" ht="12.75" x14ac:dyDescent="0.2">
      <c r="B405" s="13"/>
    </row>
    <row r="406" spans="2:2" ht="12.75" x14ac:dyDescent="0.2">
      <c r="B406" s="13"/>
    </row>
    <row r="407" spans="2:2" ht="12.75" x14ac:dyDescent="0.2">
      <c r="B407" s="13"/>
    </row>
    <row r="408" spans="2:2" ht="12.75" x14ac:dyDescent="0.2">
      <c r="B408" s="13"/>
    </row>
    <row r="409" spans="2:2" ht="12.75" x14ac:dyDescent="0.2">
      <c r="B409" s="13"/>
    </row>
    <row r="410" spans="2:2" ht="12.75" x14ac:dyDescent="0.2">
      <c r="B410" s="13"/>
    </row>
    <row r="411" spans="2:2" ht="12.75" x14ac:dyDescent="0.2">
      <c r="B411" s="13"/>
    </row>
    <row r="412" spans="2:2" ht="12.75" x14ac:dyDescent="0.2">
      <c r="B412" s="13"/>
    </row>
    <row r="413" spans="2:2" ht="12.75" x14ac:dyDescent="0.2">
      <c r="B413" s="13"/>
    </row>
    <row r="414" spans="2:2" ht="12.75" x14ac:dyDescent="0.2">
      <c r="B414" s="13"/>
    </row>
    <row r="415" spans="2:2" ht="12.75" x14ac:dyDescent="0.2">
      <c r="B415" s="13"/>
    </row>
    <row r="416" spans="2:2" ht="12.75" x14ac:dyDescent="0.2">
      <c r="B416" s="13"/>
    </row>
    <row r="417" spans="2:2" ht="12.75" x14ac:dyDescent="0.2">
      <c r="B417" s="13"/>
    </row>
    <row r="418" spans="2:2" ht="12.75" x14ac:dyDescent="0.2">
      <c r="B418" s="13"/>
    </row>
    <row r="419" spans="2:2" ht="12.75" x14ac:dyDescent="0.2">
      <c r="B419" s="13"/>
    </row>
    <row r="420" spans="2:2" ht="12.75" x14ac:dyDescent="0.2">
      <c r="B420" s="13"/>
    </row>
    <row r="421" spans="2:2" ht="12.75" x14ac:dyDescent="0.2">
      <c r="B421" s="13"/>
    </row>
    <row r="422" spans="2:2" ht="12.75" x14ac:dyDescent="0.2">
      <c r="B422" s="13"/>
    </row>
    <row r="423" spans="2:2" ht="12.75" x14ac:dyDescent="0.2">
      <c r="B423" s="13"/>
    </row>
    <row r="424" spans="2:2" ht="12.75" x14ac:dyDescent="0.2">
      <c r="B424" s="13"/>
    </row>
    <row r="425" spans="2:2" ht="12.75" x14ac:dyDescent="0.2">
      <c r="B425" s="13"/>
    </row>
    <row r="426" spans="2:2" ht="12.75" x14ac:dyDescent="0.2">
      <c r="B426" s="13"/>
    </row>
    <row r="427" spans="2:2" ht="12.75" x14ac:dyDescent="0.2">
      <c r="B427" s="13"/>
    </row>
    <row r="428" spans="2:2" ht="12.75" x14ac:dyDescent="0.2">
      <c r="B428" s="13"/>
    </row>
    <row r="429" spans="2:2" ht="12.75" x14ac:dyDescent="0.2">
      <c r="B429" s="13"/>
    </row>
    <row r="430" spans="2:2" ht="12.75" x14ac:dyDescent="0.2">
      <c r="B430" s="13"/>
    </row>
    <row r="431" spans="2:2" ht="12.75" x14ac:dyDescent="0.2">
      <c r="B431" s="13"/>
    </row>
    <row r="432" spans="2:2" ht="12.75" x14ac:dyDescent="0.2">
      <c r="B432" s="13"/>
    </row>
    <row r="433" spans="2:2" ht="12.75" x14ac:dyDescent="0.2">
      <c r="B433" s="13"/>
    </row>
    <row r="434" spans="2:2" ht="12.75" x14ac:dyDescent="0.2">
      <c r="B434" s="13"/>
    </row>
    <row r="435" spans="2:2" ht="12.75" x14ac:dyDescent="0.2">
      <c r="B435" s="13"/>
    </row>
    <row r="436" spans="2:2" ht="12.75" x14ac:dyDescent="0.2">
      <c r="B436" s="13"/>
    </row>
    <row r="437" spans="2:2" ht="12.75" x14ac:dyDescent="0.2">
      <c r="B437" s="13"/>
    </row>
    <row r="438" spans="2:2" ht="12.75" x14ac:dyDescent="0.2">
      <c r="B438" s="13"/>
    </row>
    <row r="439" spans="2:2" ht="12.75" x14ac:dyDescent="0.2">
      <c r="B439" s="13"/>
    </row>
    <row r="440" spans="2:2" ht="12.75" x14ac:dyDescent="0.2">
      <c r="B440" s="13"/>
    </row>
    <row r="441" spans="2:2" ht="12.75" x14ac:dyDescent="0.2">
      <c r="B441" s="13"/>
    </row>
    <row r="442" spans="2:2" ht="12.75" x14ac:dyDescent="0.2">
      <c r="B442" s="13"/>
    </row>
    <row r="443" spans="2:2" ht="12.75" x14ac:dyDescent="0.2">
      <c r="B443" s="13"/>
    </row>
    <row r="444" spans="2:2" ht="12.75" x14ac:dyDescent="0.2">
      <c r="B444" s="13"/>
    </row>
    <row r="445" spans="2:2" ht="12.75" x14ac:dyDescent="0.2">
      <c r="B445" s="13"/>
    </row>
    <row r="446" spans="2:2" ht="12.75" x14ac:dyDescent="0.2">
      <c r="B446" s="13"/>
    </row>
    <row r="447" spans="2:2" ht="12.75" x14ac:dyDescent="0.2">
      <c r="B447" s="13"/>
    </row>
    <row r="448" spans="2:2" ht="12.75" x14ac:dyDescent="0.2">
      <c r="B448" s="13"/>
    </row>
    <row r="449" spans="2:2" ht="12.75" x14ac:dyDescent="0.2">
      <c r="B449" s="13"/>
    </row>
    <row r="450" spans="2:2" ht="12.75" x14ac:dyDescent="0.2">
      <c r="B450" s="13"/>
    </row>
    <row r="451" spans="2:2" ht="12.75" x14ac:dyDescent="0.2">
      <c r="B451" s="13"/>
    </row>
    <row r="452" spans="2:2" ht="12.75" x14ac:dyDescent="0.2">
      <c r="B452" s="13"/>
    </row>
    <row r="453" spans="2:2" ht="12.75" x14ac:dyDescent="0.2">
      <c r="B453" s="13"/>
    </row>
    <row r="454" spans="2:2" ht="12.75" x14ac:dyDescent="0.2">
      <c r="B454" s="13"/>
    </row>
    <row r="455" spans="2:2" ht="12.75" x14ac:dyDescent="0.2">
      <c r="B455" s="13"/>
    </row>
    <row r="456" spans="2:2" ht="12.75" x14ac:dyDescent="0.2">
      <c r="B456" s="13"/>
    </row>
    <row r="457" spans="2:2" ht="12.75" x14ac:dyDescent="0.2">
      <c r="B457" s="13"/>
    </row>
    <row r="458" spans="2:2" ht="12.75" x14ac:dyDescent="0.2">
      <c r="B458" s="13"/>
    </row>
    <row r="459" spans="2:2" ht="12.75" x14ac:dyDescent="0.2">
      <c r="B459" s="13"/>
    </row>
    <row r="460" spans="2:2" ht="12.75" x14ac:dyDescent="0.2">
      <c r="B460" s="13"/>
    </row>
    <row r="461" spans="2:2" ht="12.75" x14ac:dyDescent="0.2">
      <c r="B461" s="13"/>
    </row>
    <row r="462" spans="2:2" ht="12.75" x14ac:dyDescent="0.2">
      <c r="B462" s="13"/>
    </row>
    <row r="463" spans="2:2" ht="12.75" x14ac:dyDescent="0.2">
      <c r="B463" s="13"/>
    </row>
    <row r="464" spans="2:2" ht="12.75" x14ac:dyDescent="0.2">
      <c r="B464" s="13"/>
    </row>
    <row r="465" spans="2:2" ht="12.75" x14ac:dyDescent="0.2">
      <c r="B465" s="13"/>
    </row>
    <row r="466" spans="2:2" ht="12.75" x14ac:dyDescent="0.2">
      <c r="B466" s="13"/>
    </row>
    <row r="467" spans="2:2" ht="12.75" x14ac:dyDescent="0.2">
      <c r="B467" s="13"/>
    </row>
    <row r="468" spans="2:2" ht="12.75" x14ac:dyDescent="0.2">
      <c r="B468" s="13"/>
    </row>
    <row r="469" spans="2:2" ht="12.75" x14ac:dyDescent="0.2">
      <c r="B469" s="13"/>
    </row>
    <row r="470" spans="2:2" ht="12.75" x14ac:dyDescent="0.2">
      <c r="B470" s="13"/>
    </row>
    <row r="471" spans="2:2" ht="12.75" x14ac:dyDescent="0.2">
      <c r="B471" s="13"/>
    </row>
    <row r="472" spans="2:2" ht="12.75" x14ac:dyDescent="0.2">
      <c r="B472" s="13"/>
    </row>
    <row r="473" spans="2:2" ht="12.75" x14ac:dyDescent="0.2">
      <c r="B473" s="13"/>
    </row>
    <row r="474" spans="2:2" ht="12.75" x14ac:dyDescent="0.2">
      <c r="B474" s="13"/>
    </row>
    <row r="475" spans="2:2" ht="12.75" x14ac:dyDescent="0.2">
      <c r="B475" s="13"/>
    </row>
    <row r="476" spans="2:2" ht="12.75" x14ac:dyDescent="0.2">
      <c r="B476" s="13"/>
    </row>
    <row r="477" spans="2:2" ht="12.75" x14ac:dyDescent="0.2">
      <c r="B477" s="13"/>
    </row>
    <row r="478" spans="2:2" ht="12.75" x14ac:dyDescent="0.2">
      <c r="B478" s="13"/>
    </row>
    <row r="479" spans="2:2" ht="12.75" x14ac:dyDescent="0.2">
      <c r="B479" s="13"/>
    </row>
    <row r="480" spans="2:2" ht="12.75" x14ac:dyDescent="0.2">
      <c r="B480" s="13"/>
    </row>
    <row r="481" spans="2:2" ht="12.75" x14ac:dyDescent="0.2">
      <c r="B481" s="13"/>
    </row>
    <row r="482" spans="2:2" ht="12.75" x14ac:dyDescent="0.2">
      <c r="B482" s="13"/>
    </row>
    <row r="483" spans="2:2" ht="12.75" x14ac:dyDescent="0.2">
      <c r="B483" s="13"/>
    </row>
    <row r="484" spans="2:2" ht="12.75" x14ac:dyDescent="0.2">
      <c r="B484" s="13"/>
    </row>
    <row r="485" spans="2:2" ht="12.75" x14ac:dyDescent="0.2">
      <c r="B485" s="13"/>
    </row>
    <row r="486" spans="2:2" ht="12.75" x14ac:dyDescent="0.2">
      <c r="B486" s="13"/>
    </row>
    <row r="487" spans="2:2" ht="12.75" x14ac:dyDescent="0.2">
      <c r="B487" s="13"/>
    </row>
    <row r="488" spans="2:2" ht="12.75" x14ac:dyDescent="0.2">
      <c r="B488" s="13"/>
    </row>
    <row r="489" spans="2:2" ht="12.75" x14ac:dyDescent="0.2">
      <c r="B489" s="13"/>
    </row>
    <row r="490" spans="2:2" ht="12.75" x14ac:dyDescent="0.2">
      <c r="B490" s="13"/>
    </row>
    <row r="491" spans="2:2" ht="12.75" x14ac:dyDescent="0.2">
      <c r="B491" s="13"/>
    </row>
    <row r="492" spans="2:2" ht="12.75" x14ac:dyDescent="0.2">
      <c r="B492" s="13"/>
    </row>
    <row r="493" spans="2:2" ht="12.75" x14ac:dyDescent="0.2">
      <c r="B493" s="13"/>
    </row>
    <row r="494" spans="2:2" ht="12.75" x14ac:dyDescent="0.2">
      <c r="B494" s="13"/>
    </row>
    <row r="495" spans="2:2" ht="12.75" x14ac:dyDescent="0.2">
      <c r="B495" s="13"/>
    </row>
    <row r="496" spans="2:2" ht="12.75" x14ac:dyDescent="0.2">
      <c r="B496" s="13"/>
    </row>
    <row r="497" spans="2:2" ht="12.75" x14ac:dyDescent="0.2">
      <c r="B497" s="13"/>
    </row>
    <row r="498" spans="2:2" ht="12.75" x14ac:dyDescent="0.2">
      <c r="B498" s="13"/>
    </row>
    <row r="499" spans="2:2" ht="12.75" x14ac:dyDescent="0.2">
      <c r="B499" s="13"/>
    </row>
    <row r="500" spans="2:2" ht="12.75" x14ac:dyDescent="0.2">
      <c r="B500" s="13"/>
    </row>
    <row r="501" spans="2:2" ht="12.75" x14ac:dyDescent="0.2">
      <c r="B501" s="13"/>
    </row>
    <row r="502" spans="2:2" ht="12.75" x14ac:dyDescent="0.2">
      <c r="B502" s="13"/>
    </row>
    <row r="503" spans="2:2" ht="12.75" x14ac:dyDescent="0.2">
      <c r="B503" s="13"/>
    </row>
    <row r="504" spans="2:2" ht="12.75" x14ac:dyDescent="0.2">
      <c r="B504" s="13"/>
    </row>
    <row r="505" spans="2:2" ht="12.75" x14ac:dyDescent="0.2">
      <c r="B505" s="13"/>
    </row>
    <row r="506" spans="2:2" ht="12.75" x14ac:dyDescent="0.2">
      <c r="B506" s="13"/>
    </row>
    <row r="507" spans="2:2" ht="12.75" x14ac:dyDescent="0.2">
      <c r="B507" s="13"/>
    </row>
    <row r="508" spans="2:2" ht="12.75" x14ac:dyDescent="0.2">
      <c r="B508" s="13"/>
    </row>
    <row r="509" spans="2:2" ht="12.75" x14ac:dyDescent="0.2">
      <c r="B509" s="13"/>
    </row>
    <row r="510" spans="2:2" ht="12.75" x14ac:dyDescent="0.2">
      <c r="B510" s="13"/>
    </row>
    <row r="511" spans="2:2" ht="12.75" x14ac:dyDescent="0.2">
      <c r="B511" s="13"/>
    </row>
    <row r="512" spans="2:2" ht="12.75" x14ac:dyDescent="0.2">
      <c r="B512" s="13"/>
    </row>
    <row r="513" spans="2:2" ht="12.75" x14ac:dyDescent="0.2">
      <c r="B513" s="13"/>
    </row>
    <row r="514" spans="2:2" ht="12.75" x14ac:dyDescent="0.2">
      <c r="B514" s="13"/>
    </row>
    <row r="515" spans="2:2" ht="12.75" x14ac:dyDescent="0.2">
      <c r="B515" s="13"/>
    </row>
    <row r="516" spans="2:2" ht="12.75" x14ac:dyDescent="0.2">
      <c r="B516" s="13"/>
    </row>
    <row r="517" spans="2:2" ht="12.75" x14ac:dyDescent="0.2">
      <c r="B517" s="13"/>
    </row>
    <row r="518" spans="2:2" ht="12.75" x14ac:dyDescent="0.2">
      <c r="B518" s="13"/>
    </row>
    <row r="519" spans="2:2" ht="12.75" x14ac:dyDescent="0.2">
      <c r="B519" s="13"/>
    </row>
    <row r="520" spans="2:2" ht="12.75" x14ac:dyDescent="0.2">
      <c r="B520" s="13"/>
    </row>
    <row r="521" spans="2:2" ht="12.75" x14ac:dyDescent="0.2">
      <c r="B521" s="13"/>
    </row>
    <row r="522" spans="2:2" ht="12.75" x14ac:dyDescent="0.2">
      <c r="B522" s="13"/>
    </row>
    <row r="523" spans="2:2" ht="12.75" x14ac:dyDescent="0.2">
      <c r="B523" s="13"/>
    </row>
    <row r="524" spans="2:2" ht="12.75" x14ac:dyDescent="0.2">
      <c r="B524" s="13"/>
    </row>
    <row r="525" spans="2:2" ht="12.75" x14ac:dyDescent="0.2">
      <c r="B525" s="13"/>
    </row>
    <row r="526" spans="2:2" ht="12.75" x14ac:dyDescent="0.2">
      <c r="B526" s="13"/>
    </row>
    <row r="527" spans="2:2" ht="12.75" x14ac:dyDescent="0.2">
      <c r="B527" s="13"/>
    </row>
    <row r="528" spans="2:2" ht="12.75" x14ac:dyDescent="0.2">
      <c r="B528" s="13"/>
    </row>
    <row r="529" spans="2:2" ht="12.75" x14ac:dyDescent="0.2">
      <c r="B529" s="13"/>
    </row>
    <row r="530" spans="2:2" ht="12.75" x14ac:dyDescent="0.2">
      <c r="B530" s="13"/>
    </row>
    <row r="531" spans="2:2" ht="12.75" x14ac:dyDescent="0.2">
      <c r="B531" s="13"/>
    </row>
    <row r="532" spans="2:2" ht="12.75" x14ac:dyDescent="0.2">
      <c r="B532" s="13"/>
    </row>
    <row r="533" spans="2:2" ht="12.75" x14ac:dyDescent="0.2">
      <c r="B533" s="13"/>
    </row>
    <row r="534" spans="2:2" ht="12.75" x14ac:dyDescent="0.2">
      <c r="B534" s="13"/>
    </row>
    <row r="535" spans="2:2" ht="12.75" x14ac:dyDescent="0.2">
      <c r="B535" s="13"/>
    </row>
    <row r="536" spans="2:2" ht="12.75" x14ac:dyDescent="0.2">
      <c r="B536" s="13"/>
    </row>
    <row r="537" spans="2:2" ht="12.75" x14ac:dyDescent="0.2">
      <c r="B537" s="13"/>
    </row>
    <row r="538" spans="2:2" ht="12.75" x14ac:dyDescent="0.2">
      <c r="B538" s="13"/>
    </row>
    <row r="539" spans="2:2" ht="12.75" x14ac:dyDescent="0.2">
      <c r="B539" s="13"/>
    </row>
    <row r="540" spans="2:2" ht="12.75" x14ac:dyDescent="0.2">
      <c r="B540" s="13"/>
    </row>
    <row r="541" spans="2:2" ht="12.75" x14ac:dyDescent="0.2">
      <c r="B541" s="13"/>
    </row>
    <row r="542" spans="2:2" ht="12.75" x14ac:dyDescent="0.2">
      <c r="B542" s="13"/>
    </row>
    <row r="543" spans="2:2" ht="12.75" x14ac:dyDescent="0.2">
      <c r="B543" s="13"/>
    </row>
    <row r="544" spans="2:2" ht="12.75" x14ac:dyDescent="0.2">
      <c r="B544" s="13"/>
    </row>
    <row r="545" spans="2:2" ht="12.75" x14ac:dyDescent="0.2">
      <c r="B545" s="13"/>
    </row>
    <row r="546" spans="2:2" ht="12.75" x14ac:dyDescent="0.2">
      <c r="B546" s="13"/>
    </row>
    <row r="547" spans="2:2" ht="12.75" x14ac:dyDescent="0.2">
      <c r="B547" s="13"/>
    </row>
    <row r="548" spans="2:2" ht="12.75" x14ac:dyDescent="0.2">
      <c r="B548" s="13"/>
    </row>
    <row r="549" spans="2:2" ht="12.75" x14ac:dyDescent="0.2">
      <c r="B549" s="13"/>
    </row>
    <row r="550" spans="2:2" ht="12.75" x14ac:dyDescent="0.2">
      <c r="B550" s="13"/>
    </row>
    <row r="551" spans="2:2" ht="12.75" x14ac:dyDescent="0.2">
      <c r="B551" s="13"/>
    </row>
    <row r="552" spans="2:2" ht="12.75" x14ac:dyDescent="0.2">
      <c r="B552" s="13"/>
    </row>
    <row r="553" spans="2:2" ht="12.75" x14ac:dyDescent="0.2">
      <c r="B553" s="13"/>
    </row>
    <row r="554" spans="2:2" ht="12.75" x14ac:dyDescent="0.2">
      <c r="B554" s="13"/>
    </row>
    <row r="555" spans="2:2" ht="12.75" x14ac:dyDescent="0.2">
      <c r="B555" s="13"/>
    </row>
    <row r="556" spans="2:2" ht="12.75" x14ac:dyDescent="0.2">
      <c r="B556" s="13"/>
    </row>
    <row r="557" spans="2:2" ht="12.75" x14ac:dyDescent="0.2">
      <c r="B557" s="13"/>
    </row>
    <row r="558" spans="2:2" ht="12.75" x14ac:dyDescent="0.2">
      <c r="B558" s="13"/>
    </row>
    <row r="559" spans="2:2" ht="12.75" x14ac:dyDescent="0.2">
      <c r="B559" s="13"/>
    </row>
    <row r="560" spans="2:2" ht="12.75" x14ac:dyDescent="0.2">
      <c r="B560" s="13"/>
    </row>
    <row r="561" spans="2:2" ht="12.75" x14ac:dyDescent="0.2">
      <c r="B561" s="13"/>
    </row>
    <row r="562" spans="2:2" ht="12.75" x14ac:dyDescent="0.2">
      <c r="B562" s="13"/>
    </row>
    <row r="563" spans="2:2" ht="12.75" x14ac:dyDescent="0.2">
      <c r="B563" s="13"/>
    </row>
    <row r="564" spans="2:2" ht="12.75" x14ac:dyDescent="0.2">
      <c r="B564" s="13"/>
    </row>
    <row r="565" spans="2:2" ht="12.75" x14ac:dyDescent="0.2">
      <c r="B565" s="13"/>
    </row>
    <row r="566" spans="2:2" ht="12.75" x14ac:dyDescent="0.2">
      <c r="B566" s="13"/>
    </row>
    <row r="567" spans="2:2" ht="12.75" x14ac:dyDescent="0.2">
      <c r="B567" s="13"/>
    </row>
    <row r="568" spans="2:2" ht="12.75" x14ac:dyDescent="0.2">
      <c r="B568" s="13"/>
    </row>
    <row r="569" spans="2:2" ht="12.75" x14ac:dyDescent="0.2">
      <c r="B569" s="13"/>
    </row>
    <row r="570" spans="2:2" ht="12.75" x14ac:dyDescent="0.2">
      <c r="B570" s="13"/>
    </row>
    <row r="571" spans="2:2" ht="12.75" x14ac:dyDescent="0.2">
      <c r="B571" s="13"/>
    </row>
    <row r="572" spans="2:2" ht="12.75" x14ac:dyDescent="0.2">
      <c r="B572" s="13"/>
    </row>
    <row r="573" spans="2:2" ht="12.75" x14ac:dyDescent="0.2">
      <c r="B573" s="13"/>
    </row>
    <row r="574" spans="2:2" ht="12.75" x14ac:dyDescent="0.2">
      <c r="B574" s="13"/>
    </row>
    <row r="575" spans="2:2" ht="12.75" x14ac:dyDescent="0.2">
      <c r="B575" s="13"/>
    </row>
    <row r="576" spans="2:2" ht="12.75" x14ac:dyDescent="0.2">
      <c r="B576" s="13"/>
    </row>
    <row r="577" spans="2:2" ht="12.75" x14ac:dyDescent="0.2">
      <c r="B577" s="13"/>
    </row>
    <row r="578" spans="2:2" ht="12.75" x14ac:dyDescent="0.2">
      <c r="B578" s="13"/>
    </row>
    <row r="579" spans="2:2" ht="12.75" x14ac:dyDescent="0.2">
      <c r="B579" s="13"/>
    </row>
    <row r="580" spans="2:2" ht="12.75" x14ac:dyDescent="0.2">
      <c r="B580" s="13"/>
    </row>
    <row r="581" spans="2:2" ht="12.75" x14ac:dyDescent="0.2">
      <c r="B581" s="13"/>
    </row>
    <row r="582" spans="2:2" ht="12.75" x14ac:dyDescent="0.2">
      <c r="B582" s="13"/>
    </row>
    <row r="583" spans="2:2" ht="12.75" x14ac:dyDescent="0.2">
      <c r="B583" s="13"/>
    </row>
    <row r="584" spans="2:2" ht="12.75" x14ac:dyDescent="0.2">
      <c r="B584" s="13"/>
    </row>
    <row r="585" spans="2:2" ht="12.75" x14ac:dyDescent="0.2">
      <c r="B585" s="13"/>
    </row>
    <row r="586" spans="2:2" ht="12.75" x14ac:dyDescent="0.2">
      <c r="B586" s="13"/>
    </row>
    <row r="587" spans="2:2" ht="12.75" x14ac:dyDescent="0.2">
      <c r="B587" s="13"/>
    </row>
    <row r="588" spans="2:2" ht="12.75" x14ac:dyDescent="0.2">
      <c r="B588" s="13"/>
    </row>
    <row r="589" spans="2:2" ht="12.75" x14ac:dyDescent="0.2">
      <c r="B589" s="13"/>
    </row>
    <row r="590" spans="2:2" ht="12.75" x14ac:dyDescent="0.2">
      <c r="B590" s="13"/>
    </row>
    <row r="591" spans="2:2" ht="12.75" x14ac:dyDescent="0.2">
      <c r="B591" s="13"/>
    </row>
    <row r="592" spans="2:2" ht="12.75" x14ac:dyDescent="0.2">
      <c r="B592" s="13"/>
    </row>
    <row r="593" spans="2:2" ht="12.75" x14ac:dyDescent="0.2">
      <c r="B593" s="13"/>
    </row>
    <row r="594" spans="2:2" ht="12.75" x14ac:dyDescent="0.2">
      <c r="B594" s="13"/>
    </row>
    <row r="595" spans="2:2" ht="12.75" x14ac:dyDescent="0.2">
      <c r="B595" s="13"/>
    </row>
    <row r="596" spans="2:2" ht="12.75" x14ac:dyDescent="0.2">
      <c r="B596" s="13"/>
    </row>
    <row r="597" spans="2:2" ht="12.75" x14ac:dyDescent="0.2">
      <c r="B597" s="13"/>
    </row>
    <row r="598" spans="2:2" ht="12.75" x14ac:dyDescent="0.2">
      <c r="B598" s="13"/>
    </row>
    <row r="599" spans="2:2" ht="12.75" x14ac:dyDescent="0.2">
      <c r="B599" s="13"/>
    </row>
    <row r="600" spans="2:2" ht="12.75" x14ac:dyDescent="0.2">
      <c r="B600" s="13"/>
    </row>
    <row r="601" spans="2:2" ht="12.75" x14ac:dyDescent="0.2">
      <c r="B601" s="13"/>
    </row>
    <row r="602" spans="2:2" ht="12.75" x14ac:dyDescent="0.2">
      <c r="B602" s="13"/>
    </row>
    <row r="603" spans="2:2" ht="12.75" x14ac:dyDescent="0.2">
      <c r="B603" s="13"/>
    </row>
    <row r="604" spans="2:2" ht="12.75" x14ac:dyDescent="0.2">
      <c r="B604" s="13"/>
    </row>
    <row r="605" spans="2:2" ht="12.75" x14ac:dyDescent="0.2">
      <c r="B605" s="13"/>
    </row>
    <row r="606" spans="2:2" ht="12.75" x14ac:dyDescent="0.2">
      <c r="B606" s="13"/>
    </row>
    <row r="607" spans="2:2" ht="12.75" x14ac:dyDescent="0.2">
      <c r="B607" s="13"/>
    </row>
    <row r="608" spans="2:2" ht="12.75" x14ac:dyDescent="0.2">
      <c r="B608" s="13"/>
    </row>
    <row r="609" spans="2:2" ht="12.75" x14ac:dyDescent="0.2">
      <c r="B609" s="13"/>
    </row>
    <row r="610" spans="2:2" ht="12.75" x14ac:dyDescent="0.2">
      <c r="B610" s="13"/>
    </row>
    <row r="611" spans="2:2" ht="12.75" x14ac:dyDescent="0.2">
      <c r="B611" s="13"/>
    </row>
    <row r="612" spans="2:2" ht="12.75" x14ac:dyDescent="0.2">
      <c r="B612" s="13"/>
    </row>
    <row r="613" spans="2:2" ht="12.75" x14ac:dyDescent="0.2">
      <c r="B613" s="13"/>
    </row>
    <row r="614" spans="2:2" ht="12.75" x14ac:dyDescent="0.2">
      <c r="B614" s="13"/>
    </row>
    <row r="615" spans="2:2" ht="12.75" x14ac:dyDescent="0.2">
      <c r="B615" s="13"/>
    </row>
    <row r="616" spans="2:2" ht="12.75" x14ac:dyDescent="0.2">
      <c r="B616" s="13"/>
    </row>
    <row r="617" spans="2:2" ht="12.75" x14ac:dyDescent="0.2">
      <c r="B617" s="13"/>
    </row>
    <row r="618" spans="2:2" ht="12.75" x14ac:dyDescent="0.2">
      <c r="B618" s="13"/>
    </row>
    <row r="619" spans="2:2" ht="12.75" x14ac:dyDescent="0.2">
      <c r="B619" s="13"/>
    </row>
    <row r="620" spans="2:2" ht="12.75" x14ac:dyDescent="0.2">
      <c r="B620" s="13"/>
    </row>
    <row r="621" spans="2:2" ht="12.75" x14ac:dyDescent="0.2">
      <c r="B621" s="13"/>
    </row>
    <row r="622" spans="2:2" ht="12.75" x14ac:dyDescent="0.2">
      <c r="B622" s="13"/>
    </row>
    <row r="623" spans="2:2" ht="12.75" x14ac:dyDescent="0.2">
      <c r="B623" s="13"/>
    </row>
    <row r="624" spans="2:2" ht="12.75" x14ac:dyDescent="0.2">
      <c r="B624" s="13"/>
    </row>
    <row r="625" spans="2:2" ht="12.75" x14ac:dyDescent="0.2">
      <c r="B625" s="13"/>
    </row>
    <row r="626" spans="2:2" ht="12.75" x14ac:dyDescent="0.2">
      <c r="B626" s="13"/>
    </row>
    <row r="627" spans="2:2" ht="12.75" x14ac:dyDescent="0.2">
      <c r="B627" s="13"/>
    </row>
    <row r="628" spans="2:2" ht="12.75" x14ac:dyDescent="0.2">
      <c r="B628" s="13"/>
    </row>
    <row r="629" spans="2:2" ht="12.75" x14ac:dyDescent="0.2">
      <c r="B629" s="13"/>
    </row>
    <row r="630" spans="2:2" ht="12.75" x14ac:dyDescent="0.2">
      <c r="B630" s="13"/>
    </row>
    <row r="631" spans="2:2" ht="12.75" x14ac:dyDescent="0.2">
      <c r="B631" s="13"/>
    </row>
    <row r="632" spans="2:2" ht="12.75" x14ac:dyDescent="0.2">
      <c r="B632" s="13"/>
    </row>
    <row r="633" spans="2:2" ht="12.75" x14ac:dyDescent="0.2">
      <c r="B633" s="13"/>
    </row>
    <row r="634" spans="2:2" ht="12.75" x14ac:dyDescent="0.2">
      <c r="B634" s="13"/>
    </row>
    <row r="635" spans="2:2" ht="12.75" x14ac:dyDescent="0.2">
      <c r="B635" s="13"/>
    </row>
    <row r="636" spans="2:2" ht="12.75" x14ac:dyDescent="0.2">
      <c r="B636" s="13"/>
    </row>
    <row r="637" spans="2:2" ht="12.75" x14ac:dyDescent="0.2">
      <c r="B637" s="13"/>
    </row>
    <row r="638" spans="2:2" ht="12.75" x14ac:dyDescent="0.2">
      <c r="B638" s="13"/>
    </row>
    <row r="639" spans="2:2" ht="12.75" x14ac:dyDescent="0.2">
      <c r="B639" s="13"/>
    </row>
    <row r="640" spans="2:2" ht="12.75" x14ac:dyDescent="0.2">
      <c r="B640" s="13"/>
    </row>
    <row r="641" spans="2:2" ht="12.75" x14ac:dyDescent="0.2">
      <c r="B641" s="13"/>
    </row>
    <row r="642" spans="2:2" ht="12.75" x14ac:dyDescent="0.2">
      <c r="B642" s="13"/>
    </row>
    <row r="643" spans="2:2" ht="12.75" x14ac:dyDescent="0.2">
      <c r="B643" s="13"/>
    </row>
    <row r="644" spans="2:2" ht="12.75" x14ac:dyDescent="0.2">
      <c r="B644" s="13"/>
    </row>
    <row r="645" spans="2:2" ht="12.75" x14ac:dyDescent="0.2">
      <c r="B645" s="13"/>
    </row>
    <row r="646" spans="2:2" ht="12.75" x14ac:dyDescent="0.2">
      <c r="B646" s="13"/>
    </row>
    <row r="647" spans="2:2" ht="12.75" x14ac:dyDescent="0.2">
      <c r="B647" s="13"/>
    </row>
    <row r="648" spans="2:2" ht="12.75" x14ac:dyDescent="0.2">
      <c r="B648" s="13"/>
    </row>
    <row r="649" spans="2:2" ht="12.75" x14ac:dyDescent="0.2">
      <c r="B649" s="13"/>
    </row>
    <row r="650" spans="2:2" ht="12.75" x14ac:dyDescent="0.2">
      <c r="B650" s="13"/>
    </row>
    <row r="651" spans="2:2" ht="12.75" x14ac:dyDescent="0.2">
      <c r="B651" s="13"/>
    </row>
    <row r="652" spans="2:2" ht="12.75" x14ac:dyDescent="0.2">
      <c r="B652" s="13"/>
    </row>
    <row r="653" spans="2:2" ht="12.75" x14ac:dyDescent="0.2">
      <c r="B653" s="13"/>
    </row>
    <row r="654" spans="2:2" ht="12.75" x14ac:dyDescent="0.2">
      <c r="B654" s="13"/>
    </row>
    <row r="655" spans="2:2" ht="12.75" x14ac:dyDescent="0.2">
      <c r="B655" s="13"/>
    </row>
    <row r="656" spans="2:2" ht="12.75" x14ac:dyDescent="0.2">
      <c r="B656" s="13"/>
    </row>
    <row r="657" spans="2:2" ht="12.75" x14ac:dyDescent="0.2">
      <c r="B657" s="13"/>
    </row>
    <row r="658" spans="2:2" ht="12.75" x14ac:dyDescent="0.2">
      <c r="B658" s="13"/>
    </row>
    <row r="659" spans="2:2" ht="12.75" x14ac:dyDescent="0.2">
      <c r="B659" s="13"/>
    </row>
    <row r="660" spans="2:2" ht="12.75" x14ac:dyDescent="0.2">
      <c r="B660" s="13"/>
    </row>
    <row r="661" spans="2:2" ht="12.75" x14ac:dyDescent="0.2">
      <c r="B661" s="13"/>
    </row>
    <row r="662" spans="2:2" ht="12.75" x14ac:dyDescent="0.2">
      <c r="B662" s="13"/>
    </row>
    <row r="663" spans="2:2" ht="12.75" x14ac:dyDescent="0.2">
      <c r="B663" s="13"/>
    </row>
    <row r="664" spans="2:2" ht="12.75" x14ac:dyDescent="0.2">
      <c r="B664" s="13"/>
    </row>
    <row r="665" spans="2:2" ht="12.75" x14ac:dyDescent="0.2">
      <c r="B665" s="13"/>
    </row>
    <row r="666" spans="2:2" ht="12.75" x14ac:dyDescent="0.2">
      <c r="B666" s="13"/>
    </row>
    <row r="667" spans="2:2" ht="12.75" x14ac:dyDescent="0.2">
      <c r="B667" s="13"/>
    </row>
    <row r="668" spans="2:2" ht="12.75" x14ac:dyDescent="0.2">
      <c r="B668" s="13"/>
    </row>
    <row r="669" spans="2:2" ht="12.75" x14ac:dyDescent="0.2">
      <c r="B669" s="13"/>
    </row>
    <row r="670" spans="2:2" ht="12.75" x14ac:dyDescent="0.2">
      <c r="B670" s="13"/>
    </row>
    <row r="671" spans="2:2" ht="12.75" x14ac:dyDescent="0.2">
      <c r="B671" s="13"/>
    </row>
    <row r="672" spans="2:2" ht="12.75" x14ac:dyDescent="0.2">
      <c r="B672" s="13"/>
    </row>
    <row r="673" spans="2:2" ht="12.75" x14ac:dyDescent="0.2">
      <c r="B673" s="13"/>
    </row>
    <row r="674" spans="2:2" ht="12.75" x14ac:dyDescent="0.2">
      <c r="B674" s="13"/>
    </row>
    <row r="675" spans="2:2" ht="12.75" x14ac:dyDescent="0.2">
      <c r="B675" s="13"/>
    </row>
    <row r="676" spans="2:2" ht="12.75" x14ac:dyDescent="0.2">
      <c r="B676" s="13"/>
    </row>
    <row r="677" spans="2:2" ht="12.75" x14ac:dyDescent="0.2">
      <c r="B677" s="13"/>
    </row>
    <row r="678" spans="2:2" ht="12.75" x14ac:dyDescent="0.2">
      <c r="B678" s="13"/>
    </row>
    <row r="679" spans="2:2" ht="12.75" x14ac:dyDescent="0.2">
      <c r="B679" s="13"/>
    </row>
    <row r="680" spans="2:2" ht="12.75" x14ac:dyDescent="0.2">
      <c r="B680" s="13"/>
    </row>
    <row r="681" spans="2:2" ht="12.75" x14ac:dyDescent="0.2">
      <c r="B681" s="13"/>
    </row>
    <row r="682" spans="2:2" ht="12.75" x14ac:dyDescent="0.2">
      <c r="B682" s="13"/>
    </row>
    <row r="683" spans="2:2" ht="12.75" x14ac:dyDescent="0.2">
      <c r="B683" s="13"/>
    </row>
    <row r="684" spans="2:2" ht="12.75" x14ac:dyDescent="0.2">
      <c r="B684" s="13"/>
    </row>
    <row r="685" spans="2:2" ht="12.75" x14ac:dyDescent="0.2">
      <c r="B685" s="13"/>
    </row>
    <row r="686" spans="2:2" ht="12.75" x14ac:dyDescent="0.2">
      <c r="B686" s="13"/>
    </row>
    <row r="687" spans="2:2" ht="12.75" x14ac:dyDescent="0.2">
      <c r="B687" s="13"/>
    </row>
    <row r="688" spans="2:2" ht="12.75" x14ac:dyDescent="0.2">
      <c r="B688" s="13"/>
    </row>
    <row r="689" spans="2:2" ht="12.75" x14ac:dyDescent="0.2">
      <c r="B689" s="13"/>
    </row>
    <row r="690" spans="2:2" ht="12.75" x14ac:dyDescent="0.2">
      <c r="B690" s="13"/>
    </row>
    <row r="691" spans="2:2" ht="12.75" x14ac:dyDescent="0.2">
      <c r="B691" s="13"/>
    </row>
    <row r="692" spans="2:2" ht="12.75" x14ac:dyDescent="0.2">
      <c r="B692" s="13"/>
    </row>
    <row r="693" spans="2:2" ht="12.75" x14ac:dyDescent="0.2">
      <c r="B693" s="13"/>
    </row>
    <row r="694" spans="2:2" ht="12.75" x14ac:dyDescent="0.2">
      <c r="B694" s="13"/>
    </row>
    <row r="695" spans="2:2" ht="12.75" x14ac:dyDescent="0.2">
      <c r="B695" s="13"/>
    </row>
    <row r="696" spans="2:2" ht="12.75" x14ac:dyDescent="0.2">
      <c r="B696" s="13"/>
    </row>
    <row r="697" spans="2:2" ht="12.75" x14ac:dyDescent="0.2">
      <c r="B697" s="13"/>
    </row>
    <row r="698" spans="2:2" ht="12.75" x14ac:dyDescent="0.2">
      <c r="B698" s="13"/>
    </row>
    <row r="699" spans="2:2" ht="12.75" x14ac:dyDescent="0.2">
      <c r="B699" s="13"/>
    </row>
    <row r="700" spans="2:2" ht="12.75" x14ac:dyDescent="0.2">
      <c r="B700" s="13"/>
    </row>
    <row r="701" spans="2:2" ht="12.75" x14ac:dyDescent="0.2">
      <c r="B701" s="13"/>
    </row>
    <row r="702" spans="2:2" ht="12.75" x14ac:dyDescent="0.2">
      <c r="B702" s="13"/>
    </row>
    <row r="703" spans="2:2" ht="12.75" x14ac:dyDescent="0.2">
      <c r="B703" s="13"/>
    </row>
    <row r="704" spans="2:2" ht="12.75" x14ac:dyDescent="0.2">
      <c r="B704" s="13"/>
    </row>
    <row r="705" spans="2:2" ht="12.75" x14ac:dyDescent="0.2">
      <c r="B705" s="13"/>
    </row>
    <row r="706" spans="2:2" ht="12.75" x14ac:dyDescent="0.2">
      <c r="B706" s="13"/>
    </row>
    <row r="707" spans="2:2" ht="12.75" x14ac:dyDescent="0.2">
      <c r="B707" s="13"/>
    </row>
    <row r="708" spans="2:2" ht="12.75" x14ac:dyDescent="0.2">
      <c r="B708" s="13"/>
    </row>
    <row r="709" spans="2:2" ht="12.75" x14ac:dyDescent="0.2">
      <c r="B709" s="13"/>
    </row>
    <row r="710" spans="2:2" ht="12.75" x14ac:dyDescent="0.2">
      <c r="B710" s="13"/>
    </row>
    <row r="711" spans="2:2" ht="12.75" x14ac:dyDescent="0.2">
      <c r="B711" s="13"/>
    </row>
    <row r="712" spans="2:2" ht="12.75" x14ac:dyDescent="0.2">
      <c r="B712" s="13"/>
    </row>
    <row r="713" spans="2:2" ht="12.75" x14ac:dyDescent="0.2">
      <c r="B713" s="13"/>
    </row>
    <row r="714" spans="2:2" ht="12.75" x14ac:dyDescent="0.2">
      <c r="B714" s="13"/>
    </row>
    <row r="715" spans="2:2" ht="12.75" x14ac:dyDescent="0.2">
      <c r="B715" s="13"/>
    </row>
    <row r="716" spans="2:2" ht="12.75" x14ac:dyDescent="0.2">
      <c r="B716" s="13"/>
    </row>
    <row r="717" spans="2:2" ht="12.75" x14ac:dyDescent="0.2">
      <c r="B717" s="13"/>
    </row>
    <row r="718" spans="2:2" ht="12.75" x14ac:dyDescent="0.2">
      <c r="B718" s="13"/>
    </row>
    <row r="719" spans="2:2" ht="12.75" x14ac:dyDescent="0.2">
      <c r="B719" s="13"/>
    </row>
    <row r="720" spans="2:2" ht="12.75" x14ac:dyDescent="0.2">
      <c r="B720" s="13"/>
    </row>
    <row r="721" spans="2:2" ht="12.75" x14ac:dyDescent="0.2">
      <c r="B721" s="13"/>
    </row>
    <row r="722" spans="2:2" ht="12.75" x14ac:dyDescent="0.2">
      <c r="B722" s="13"/>
    </row>
    <row r="723" spans="2:2" ht="12.75" x14ac:dyDescent="0.2">
      <c r="B723" s="13"/>
    </row>
    <row r="724" spans="2:2" ht="12.75" x14ac:dyDescent="0.2">
      <c r="B724" s="13"/>
    </row>
    <row r="725" spans="2:2" ht="12.75" x14ac:dyDescent="0.2">
      <c r="B725" s="13"/>
    </row>
    <row r="726" spans="2:2" ht="12.75" x14ac:dyDescent="0.2">
      <c r="B726" s="13"/>
    </row>
    <row r="727" spans="2:2" ht="12.75" x14ac:dyDescent="0.2">
      <c r="B727" s="13"/>
    </row>
    <row r="728" spans="2:2" ht="12.75" x14ac:dyDescent="0.2">
      <c r="B728" s="13"/>
    </row>
    <row r="729" spans="2:2" ht="12.75" x14ac:dyDescent="0.2">
      <c r="B729" s="13"/>
    </row>
    <row r="730" spans="2:2" ht="12.75" x14ac:dyDescent="0.2">
      <c r="B730" s="13"/>
    </row>
    <row r="731" spans="2:2" ht="12.75" x14ac:dyDescent="0.2">
      <c r="B731" s="13"/>
    </row>
    <row r="732" spans="2:2" ht="12.75" x14ac:dyDescent="0.2">
      <c r="B732" s="13"/>
    </row>
    <row r="733" spans="2:2" ht="12.75" x14ac:dyDescent="0.2">
      <c r="B733" s="13"/>
    </row>
    <row r="734" spans="2:2" ht="12.75" x14ac:dyDescent="0.2">
      <c r="B734" s="13"/>
    </row>
    <row r="735" spans="2:2" ht="12.75" x14ac:dyDescent="0.2">
      <c r="B735" s="13"/>
    </row>
    <row r="736" spans="2:2" ht="12.75" x14ac:dyDescent="0.2">
      <c r="B736" s="13"/>
    </row>
    <row r="737" spans="2:2" ht="12.75" x14ac:dyDescent="0.2">
      <c r="B737" s="13"/>
    </row>
    <row r="738" spans="2:2" ht="12.75" x14ac:dyDescent="0.2">
      <c r="B738" s="13"/>
    </row>
    <row r="739" spans="2:2" ht="12.75" x14ac:dyDescent="0.2">
      <c r="B739" s="13"/>
    </row>
    <row r="740" spans="2:2" ht="12.75" x14ac:dyDescent="0.2">
      <c r="B740" s="13"/>
    </row>
    <row r="741" spans="2:2" ht="12.75" x14ac:dyDescent="0.2">
      <c r="B741" s="13"/>
    </row>
    <row r="742" spans="2:2" ht="12.75" x14ac:dyDescent="0.2">
      <c r="B742" s="13"/>
    </row>
    <row r="743" spans="2:2" ht="12.75" x14ac:dyDescent="0.2">
      <c r="B743" s="13"/>
    </row>
    <row r="744" spans="2:2" ht="12.75" x14ac:dyDescent="0.2">
      <c r="B744" s="13"/>
    </row>
    <row r="745" spans="2:2" ht="12.75" x14ac:dyDescent="0.2">
      <c r="B745" s="13"/>
    </row>
    <row r="746" spans="2:2" ht="12.75" x14ac:dyDescent="0.2">
      <c r="B746" s="13"/>
    </row>
    <row r="747" spans="2:2" ht="12.75" x14ac:dyDescent="0.2">
      <c r="B747" s="13"/>
    </row>
    <row r="748" spans="2:2" ht="12.75" x14ac:dyDescent="0.2">
      <c r="B748" s="13"/>
    </row>
    <row r="749" spans="2:2" ht="12.75" x14ac:dyDescent="0.2">
      <c r="B749" s="13"/>
    </row>
    <row r="750" spans="2:2" ht="12.75" x14ac:dyDescent="0.2">
      <c r="B750" s="13"/>
    </row>
    <row r="751" spans="2:2" ht="12.75" x14ac:dyDescent="0.2">
      <c r="B751" s="13"/>
    </row>
    <row r="752" spans="2:2" ht="12.75" x14ac:dyDescent="0.2">
      <c r="B752" s="13"/>
    </row>
    <row r="753" spans="2:2" ht="12.75" x14ac:dyDescent="0.2">
      <c r="B753" s="13"/>
    </row>
    <row r="754" spans="2:2" ht="12.75" x14ac:dyDescent="0.2">
      <c r="B754" s="13"/>
    </row>
    <row r="755" spans="2:2" ht="12.75" x14ac:dyDescent="0.2">
      <c r="B755" s="13"/>
    </row>
    <row r="756" spans="2:2" ht="12.75" x14ac:dyDescent="0.2">
      <c r="B756" s="13"/>
    </row>
    <row r="757" spans="2:2" ht="12.75" x14ac:dyDescent="0.2">
      <c r="B757" s="13"/>
    </row>
    <row r="758" spans="2:2" ht="12.75" x14ac:dyDescent="0.2">
      <c r="B758" s="13"/>
    </row>
    <row r="759" spans="2:2" ht="12.75" x14ac:dyDescent="0.2">
      <c r="B759" s="13"/>
    </row>
    <row r="760" spans="2:2" ht="12.75" x14ac:dyDescent="0.2">
      <c r="B760" s="13"/>
    </row>
    <row r="761" spans="2:2" ht="12.75" x14ac:dyDescent="0.2">
      <c r="B761" s="13"/>
    </row>
    <row r="762" spans="2:2" ht="12.75" x14ac:dyDescent="0.2">
      <c r="B762" s="13"/>
    </row>
    <row r="763" spans="2:2" ht="12.75" x14ac:dyDescent="0.2">
      <c r="B763" s="13"/>
    </row>
    <row r="764" spans="2:2" ht="12.75" x14ac:dyDescent="0.2">
      <c r="B764" s="13"/>
    </row>
    <row r="765" spans="2:2" ht="12.75" x14ac:dyDescent="0.2">
      <c r="B765" s="13"/>
    </row>
    <row r="766" spans="2:2" ht="12.75" x14ac:dyDescent="0.2">
      <c r="B766" s="13"/>
    </row>
    <row r="767" spans="2:2" ht="12.75" x14ac:dyDescent="0.2">
      <c r="B767" s="13"/>
    </row>
    <row r="768" spans="2:2" ht="12.75" x14ac:dyDescent="0.2">
      <c r="B768" s="13"/>
    </row>
    <row r="769" spans="2:2" ht="12.75" x14ac:dyDescent="0.2">
      <c r="B769" s="13"/>
    </row>
    <row r="770" spans="2:2" ht="12.75" x14ac:dyDescent="0.2">
      <c r="B770" s="13"/>
    </row>
    <row r="771" spans="2:2" ht="12.75" x14ac:dyDescent="0.2">
      <c r="B771" s="13"/>
    </row>
    <row r="772" spans="2:2" ht="12.75" x14ac:dyDescent="0.2">
      <c r="B772" s="13"/>
    </row>
    <row r="773" spans="2:2" ht="12.75" x14ac:dyDescent="0.2">
      <c r="B773" s="13"/>
    </row>
    <row r="774" spans="2:2" ht="12.75" x14ac:dyDescent="0.2">
      <c r="B774" s="13"/>
    </row>
    <row r="775" spans="2:2" ht="12.75" x14ac:dyDescent="0.2">
      <c r="B775" s="13"/>
    </row>
    <row r="776" spans="2:2" ht="12.75" x14ac:dyDescent="0.2">
      <c r="B776" s="13"/>
    </row>
    <row r="777" spans="2:2" ht="12.75" x14ac:dyDescent="0.2">
      <c r="B777" s="13"/>
    </row>
    <row r="778" spans="2:2" ht="12.75" x14ac:dyDescent="0.2">
      <c r="B778" s="13"/>
    </row>
    <row r="779" spans="2:2" ht="12.75" x14ac:dyDescent="0.2">
      <c r="B779" s="13"/>
    </row>
    <row r="780" spans="2:2" ht="12.75" x14ac:dyDescent="0.2">
      <c r="B780" s="13"/>
    </row>
    <row r="781" spans="2:2" ht="12.75" x14ac:dyDescent="0.2">
      <c r="B781" s="13"/>
    </row>
    <row r="782" spans="2:2" ht="12.75" x14ac:dyDescent="0.2">
      <c r="B782" s="13"/>
    </row>
    <row r="783" spans="2:2" ht="12.75" x14ac:dyDescent="0.2">
      <c r="B783" s="13"/>
    </row>
    <row r="784" spans="2:2" ht="12.75" x14ac:dyDescent="0.2">
      <c r="B784" s="13"/>
    </row>
    <row r="785" spans="2:2" ht="12.75" x14ac:dyDescent="0.2">
      <c r="B785" s="13"/>
    </row>
    <row r="786" spans="2:2" ht="12.75" x14ac:dyDescent="0.2">
      <c r="B786" s="13"/>
    </row>
    <row r="787" spans="2:2" ht="12.75" x14ac:dyDescent="0.2">
      <c r="B787" s="13"/>
    </row>
    <row r="788" spans="2:2" ht="12.75" x14ac:dyDescent="0.2">
      <c r="B788" s="13"/>
    </row>
    <row r="789" spans="2:2" ht="12.75" x14ac:dyDescent="0.2">
      <c r="B789" s="13"/>
    </row>
    <row r="790" spans="2:2" ht="12.75" x14ac:dyDescent="0.2">
      <c r="B790" s="13"/>
    </row>
    <row r="791" spans="2:2" ht="12.75" x14ac:dyDescent="0.2">
      <c r="B791" s="13"/>
    </row>
    <row r="792" spans="2:2" ht="12.75" x14ac:dyDescent="0.2">
      <c r="B792" s="13"/>
    </row>
    <row r="793" spans="2:2" ht="12.75" x14ac:dyDescent="0.2">
      <c r="B793" s="13"/>
    </row>
    <row r="794" spans="2:2" ht="12.75" x14ac:dyDescent="0.2">
      <c r="B794" s="13"/>
    </row>
    <row r="795" spans="2:2" ht="12.75" x14ac:dyDescent="0.2">
      <c r="B795" s="13"/>
    </row>
    <row r="796" spans="2:2" ht="12.75" x14ac:dyDescent="0.2">
      <c r="B796" s="13"/>
    </row>
    <row r="797" spans="2:2" ht="12.75" x14ac:dyDescent="0.2">
      <c r="B797" s="13"/>
    </row>
    <row r="798" spans="2:2" ht="12.75" x14ac:dyDescent="0.2">
      <c r="B798" s="13"/>
    </row>
    <row r="799" spans="2:2" ht="12.75" x14ac:dyDescent="0.2">
      <c r="B799" s="13"/>
    </row>
    <row r="800" spans="2:2" ht="12.75" x14ac:dyDescent="0.2">
      <c r="B800" s="13"/>
    </row>
    <row r="801" spans="2:2" ht="12.75" x14ac:dyDescent="0.2">
      <c r="B801" s="13"/>
    </row>
    <row r="802" spans="2:2" ht="12.75" x14ac:dyDescent="0.2">
      <c r="B802" s="13"/>
    </row>
    <row r="803" spans="2:2" ht="12.75" x14ac:dyDescent="0.2">
      <c r="B803" s="13"/>
    </row>
    <row r="804" spans="2:2" ht="12.75" x14ac:dyDescent="0.2">
      <c r="B804" s="13"/>
    </row>
    <row r="805" spans="2:2" ht="12.75" x14ac:dyDescent="0.2">
      <c r="B805" s="13"/>
    </row>
    <row r="806" spans="2:2" ht="12.75" x14ac:dyDescent="0.2">
      <c r="B806" s="13"/>
    </row>
    <row r="807" spans="2:2" ht="12.75" x14ac:dyDescent="0.2">
      <c r="B807" s="13"/>
    </row>
    <row r="808" spans="2:2" ht="12.75" x14ac:dyDescent="0.2">
      <c r="B808" s="13"/>
    </row>
    <row r="809" spans="2:2" ht="12.75" x14ac:dyDescent="0.2">
      <c r="B809" s="13"/>
    </row>
    <row r="810" spans="2:2" ht="12.75" x14ac:dyDescent="0.2">
      <c r="B810" s="13"/>
    </row>
    <row r="811" spans="2:2" ht="12.75" x14ac:dyDescent="0.2">
      <c r="B811" s="13"/>
    </row>
    <row r="812" spans="2:2" ht="12.75" x14ac:dyDescent="0.2">
      <c r="B812" s="13"/>
    </row>
    <row r="813" spans="2:2" ht="12.75" x14ac:dyDescent="0.2">
      <c r="B813" s="13"/>
    </row>
    <row r="814" spans="2:2" ht="12.75" x14ac:dyDescent="0.2">
      <c r="B814" s="13"/>
    </row>
    <row r="815" spans="2:2" ht="12.75" x14ac:dyDescent="0.2">
      <c r="B815" s="13"/>
    </row>
    <row r="816" spans="2:2" ht="12.75" x14ac:dyDescent="0.2">
      <c r="B816" s="13"/>
    </row>
    <row r="817" spans="2:2" ht="12.75" x14ac:dyDescent="0.2">
      <c r="B817" s="13"/>
    </row>
    <row r="818" spans="2:2" ht="12.75" x14ac:dyDescent="0.2">
      <c r="B818" s="13"/>
    </row>
    <row r="819" spans="2:2" ht="12.75" x14ac:dyDescent="0.2">
      <c r="B819" s="13"/>
    </row>
    <row r="820" spans="2:2" ht="12.75" x14ac:dyDescent="0.2">
      <c r="B820" s="13"/>
    </row>
    <row r="821" spans="2:2" ht="12.75" x14ac:dyDescent="0.2">
      <c r="B821" s="13"/>
    </row>
    <row r="822" spans="2:2" ht="12.75" x14ac:dyDescent="0.2">
      <c r="B822" s="13"/>
    </row>
    <row r="823" spans="2:2" ht="12.75" x14ac:dyDescent="0.2">
      <c r="B823" s="13"/>
    </row>
    <row r="824" spans="2:2" ht="12.75" x14ac:dyDescent="0.2">
      <c r="B824" s="13"/>
    </row>
    <row r="825" spans="2:2" ht="12.75" x14ac:dyDescent="0.2">
      <c r="B825" s="13"/>
    </row>
    <row r="826" spans="2:2" ht="12.75" x14ac:dyDescent="0.2">
      <c r="B826" s="13"/>
    </row>
    <row r="827" spans="2:2" ht="12.75" x14ac:dyDescent="0.2">
      <c r="B827" s="13"/>
    </row>
    <row r="828" spans="2:2" ht="12.75" x14ac:dyDescent="0.2">
      <c r="B828" s="13"/>
    </row>
    <row r="829" spans="2:2" ht="12.75" x14ac:dyDescent="0.2">
      <c r="B829" s="13"/>
    </row>
    <row r="830" spans="2:2" ht="12.75" x14ac:dyDescent="0.2">
      <c r="B830" s="13"/>
    </row>
    <row r="831" spans="2:2" ht="12.75" x14ac:dyDescent="0.2">
      <c r="B831" s="13"/>
    </row>
    <row r="832" spans="2:2" ht="12.75" x14ac:dyDescent="0.2">
      <c r="B832" s="13"/>
    </row>
    <row r="833" spans="2:2" ht="12.75" x14ac:dyDescent="0.2">
      <c r="B833" s="13"/>
    </row>
    <row r="834" spans="2:2" ht="12.75" x14ac:dyDescent="0.2">
      <c r="B834" s="13"/>
    </row>
    <row r="835" spans="2:2" ht="12.75" x14ac:dyDescent="0.2">
      <c r="B835" s="13"/>
    </row>
    <row r="836" spans="2:2" ht="12.75" x14ac:dyDescent="0.2">
      <c r="B836" s="13"/>
    </row>
    <row r="837" spans="2:2" ht="12.75" x14ac:dyDescent="0.2">
      <c r="B837" s="13"/>
    </row>
    <row r="838" spans="2:2" ht="12.75" x14ac:dyDescent="0.2">
      <c r="B838" s="13"/>
    </row>
    <row r="839" spans="2:2" ht="12.75" x14ac:dyDescent="0.2">
      <c r="B839" s="13"/>
    </row>
    <row r="840" spans="2:2" ht="12.75" x14ac:dyDescent="0.2">
      <c r="B840" s="13"/>
    </row>
    <row r="841" spans="2:2" ht="12.75" x14ac:dyDescent="0.2">
      <c r="B841" s="13"/>
    </row>
    <row r="842" spans="2:2" ht="12.75" x14ac:dyDescent="0.2">
      <c r="B842" s="13"/>
    </row>
    <row r="843" spans="2:2" ht="12.75" x14ac:dyDescent="0.2">
      <c r="B843" s="13"/>
    </row>
    <row r="844" spans="2:2" ht="12.75" x14ac:dyDescent="0.2">
      <c r="B844" s="13"/>
    </row>
    <row r="845" spans="2:2" ht="12.75" x14ac:dyDescent="0.2">
      <c r="B845" s="13"/>
    </row>
    <row r="846" spans="2:2" ht="12.75" x14ac:dyDescent="0.2">
      <c r="B846" s="13"/>
    </row>
    <row r="847" spans="2:2" ht="12.75" x14ac:dyDescent="0.2">
      <c r="B847" s="13"/>
    </row>
    <row r="848" spans="2:2" ht="12.75" x14ac:dyDescent="0.2">
      <c r="B848" s="13"/>
    </row>
    <row r="849" spans="2:2" ht="12.75" x14ac:dyDescent="0.2">
      <c r="B849" s="13"/>
    </row>
    <row r="850" spans="2:2" ht="12.75" x14ac:dyDescent="0.2">
      <c r="B850" s="13"/>
    </row>
    <row r="851" spans="2:2" ht="12.75" x14ac:dyDescent="0.2">
      <c r="B851" s="13"/>
    </row>
    <row r="852" spans="2:2" ht="12.75" x14ac:dyDescent="0.2">
      <c r="B852" s="13"/>
    </row>
    <row r="853" spans="2:2" ht="12.75" x14ac:dyDescent="0.2">
      <c r="B853" s="13"/>
    </row>
    <row r="854" spans="2:2" ht="12.75" x14ac:dyDescent="0.2">
      <c r="B854" s="13"/>
    </row>
    <row r="855" spans="2:2" ht="12.75" x14ac:dyDescent="0.2">
      <c r="B855" s="13"/>
    </row>
    <row r="856" spans="2:2" ht="12.75" x14ac:dyDescent="0.2">
      <c r="B856" s="13"/>
    </row>
    <row r="857" spans="2:2" ht="12.75" x14ac:dyDescent="0.2">
      <c r="B857" s="13"/>
    </row>
    <row r="858" spans="2:2" ht="12.75" x14ac:dyDescent="0.2">
      <c r="B858" s="13"/>
    </row>
    <row r="859" spans="2:2" ht="12.75" x14ac:dyDescent="0.2">
      <c r="B859" s="13"/>
    </row>
    <row r="860" spans="2:2" ht="12.75" x14ac:dyDescent="0.2">
      <c r="B860" s="13"/>
    </row>
    <row r="861" spans="2:2" ht="12.75" x14ac:dyDescent="0.2">
      <c r="B861" s="13"/>
    </row>
    <row r="862" spans="2:2" ht="12.75" x14ac:dyDescent="0.2">
      <c r="B862" s="13"/>
    </row>
    <row r="863" spans="2:2" ht="12.75" x14ac:dyDescent="0.2">
      <c r="B863" s="13"/>
    </row>
    <row r="864" spans="2:2" ht="12.75" x14ac:dyDescent="0.2">
      <c r="B864" s="13"/>
    </row>
    <row r="865" spans="2:2" ht="12.75" x14ac:dyDescent="0.2">
      <c r="B865" s="13"/>
    </row>
    <row r="866" spans="2:2" ht="12.75" x14ac:dyDescent="0.2">
      <c r="B866" s="13"/>
    </row>
    <row r="867" spans="2:2" ht="12.75" x14ac:dyDescent="0.2">
      <c r="B867" s="13"/>
    </row>
    <row r="868" spans="2:2" ht="12.75" x14ac:dyDescent="0.2">
      <c r="B868" s="13"/>
    </row>
    <row r="869" spans="2:2" ht="12.75" x14ac:dyDescent="0.2">
      <c r="B869" s="13"/>
    </row>
    <row r="870" spans="2:2" ht="12.75" x14ac:dyDescent="0.2">
      <c r="B870" s="13"/>
    </row>
    <row r="871" spans="2:2" ht="12.75" x14ac:dyDescent="0.2">
      <c r="B871" s="13"/>
    </row>
    <row r="872" spans="2:2" ht="12.75" x14ac:dyDescent="0.2">
      <c r="B872" s="13"/>
    </row>
    <row r="873" spans="2:2" ht="12.75" x14ac:dyDescent="0.2">
      <c r="B873" s="13"/>
    </row>
    <row r="874" spans="2:2" ht="12.75" x14ac:dyDescent="0.2">
      <c r="B874" s="13"/>
    </row>
    <row r="875" spans="2:2" ht="12.75" x14ac:dyDescent="0.2">
      <c r="B875" s="13"/>
    </row>
    <row r="876" spans="2:2" ht="12.75" x14ac:dyDescent="0.2">
      <c r="B876" s="13"/>
    </row>
    <row r="877" spans="2:2" ht="12.75" x14ac:dyDescent="0.2">
      <c r="B877" s="13"/>
    </row>
    <row r="878" spans="2:2" ht="12.75" x14ac:dyDescent="0.2">
      <c r="B878" s="13"/>
    </row>
    <row r="879" spans="2:2" ht="12.75" x14ac:dyDescent="0.2">
      <c r="B879" s="13"/>
    </row>
    <row r="880" spans="2:2" ht="12.75" x14ac:dyDescent="0.2">
      <c r="B880" s="13"/>
    </row>
    <row r="881" spans="2:2" ht="12.75" x14ac:dyDescent="0.2">
      <c r="B881" s="13"/>
    </row>
    <row r="882" spans="2:2" ht="12.75" x14ac:dyDescent="0.2">
      <c r="B882" s="13"/>
    </row>
    <row r="883" spans="2:2" ht="12.75" x14ac:dyDescent="0.2">
      <c r="B883" s="13"/>
    </row>
    <row r="884" spans="2:2" ht="12.75" x14ac:dyDescent="0.2">
      <c r="B884" s="13"/>
    </row>
    <row r="885" spans="2:2" ht="12.75" x14ac:dyDescent="0.2">
      <c r="B885" s="13"/>
    </row>
    <row r="886" spans="2:2" ht="12.75" x14ac:dyDescent="0.2">
      <c r="B886" s="13"/>
    </row>
    <row r="887" spans="2:2" ht="12.75" x14ac:dyDescent="0.2">
      <c r="B887" s="13"/>
    </row>
    <row r="888" spans="2:2" ht="12.75" x14ac:dyDescent="0.2">
      <c r="B888" s="13"/>
    </row>
    <row r="889" spans="2:2" ht="12.75" x14ac:dyDescent="0.2">
      <c r="B889" s="13"/>
    </row>
    <row r="890" spans="2:2" ht="12.75" x14ac:dyDescent="0.2">
      <c r="B890" s="13"/>
    </row>
    <row r="891" spans="2:2" ht="12.75" x14ac:dyDescent="0.2">
      <c r="B891" s="13"/>
    </row>
    <row r="892" spans="2:2" ht="12.75" x14ac:dyDescent="0.2">
      <c r="B892" s="13"/>
    </row>
    <row r="893" spans="2:2" ht="12.75" x14ac:dyDescent="0.2">
      <c r="B893" s="13"/>
    </row>
    <row r="894" spans="2:2" ht="12.75" x14ac:dyDescent="0.2">
      <c r="B894" s="13"/>
    </row>
    <row r="895" spans="2:2" ht="12.75" x14ac:dyDescent="0.2">
      <c r="B895" s="13"/>
    </row>
    <row r="896" spans="2:2" ht="12.75" x14ac:dyDescent="0.2">
      <c r="B896" s="13"/>
    </row>
    <row r="897" spans="2:2" ht="12.75" x14ac:dyDescent="0.2">
      <c r="B897" s="13"/>
    </row>
    <row r="898" spans="2:2" ht="12.75" x14ac:dyDescent="0.2">
      <c r="B898" s="13"/>
    </row>
    <row r="899" spans="2:2" ht="12.75" x14ac:dyDescent="0.2">
      <c r="B899" s="13"/>
    </row>
    <row r="900" spans="2:2" ht="12.75" x14ac:dyDescent="0.2">
      <c r="B900" s="13"/>
    </row>
    <row r="901" spans="2:2" ht="12.75" x14ac:dyDescent="0.2">
      <c r="B901" s="13"/>
    </row>
    <row r="902" spans="2:2" ht="12.75" x14ac:dyDescent="0.2">
      <c r="B902" s="13"/>
    </row>
    <row r="903" spans="2:2" ht="12.75" x14ac:dyDescent="0.2">
      <c r="B903" s="13"/>
    </row>
    <row r="904" spans="2:2" ht="12.75" x14ac:dyDescent="0.2">
      <c r="B904" s="13"/>
    </row>
    <row r="905" spans="2:2" ht="12.75" x14ac:dyDescent="0.2">
      <c r="B905" s="13"/>
    </row>
    <row r="906" spans="2:2" ht="12.75" x14ac:dyDescent="0.2">
      <c r="B906" s="13"/>
    </row>
    <row r="907" spans="2:2" ht="12.75" x14ac:dyDescent="0.2">
      <c r="B907" s="13"/>
    </row>
    <row r="908" spans="2:2" ht="12.75" x14ac:dyDescent="0.2">
      <c r="B908" s="13"/>
    </row>
    <row r="909" spans="2:2" ht="12.75" x14ac:dyDescent="0.2">
      <c r="B909" s="13"/>
    </row>
    <row r="910" spans="2:2" ht="12.75" x14ac:dyDescent="0.2">
      <c r="B910" s="13"/>
    </row>
    <row r="911" spans="2:2" ht="12.75" x14ac:dyDescent="0.2">
      <c r="B911" s="13"/>
    </row>
    <row r="912" spans="2:2" ht="12.75" x14ac:dyDescent="0.2">
      <c r="B912" s="13"/>
    </row>
    <row r="913" spans="2:2" ht="12.75" x14ac:dyDescent="0.2">
      <c r="B913" s="13"/>
    </row>
    <row r="914" spans="2:2" ht="12.75" x14ac:dyDescent="0.2">
      <c r="B914" s="13"/>
    </row>
    <row r="915" spans="2:2" ht="12.75" x14ac:dyDescent="0.2">
      <c r="B915" s="13"/>
    </row>
    <row r="916" spans="2:2" ht="12.75" x14ac:dyDescent="0.2">
      <c r="B916" s="13"/>
    </row>
    <row r="917" spans="2:2" ht="12.75" x14ac:dyDescent="0.2">
      <c r="B917" s="13"/>
    </row>
    <row r="918" spans="2:2" ht="12.75" x14ac:dyDescent="0.2">
      <c r="B918" s="13"/>
    </row>
    <row r="919" spans="2:2" ht="12.75" x14ac:dyDescent="0.2">
      <c r="B919" s="13"/>
    </row>
    <row r="920" spans="2:2" ht="12.75" x14ac:dyDescent="0.2">
      <c r="B920" s="13"/>
    </row>
    <row r="921" spans="2:2" ht="12.75" x14ac:dyDescent="0.2">
      <c r="B921" s="13"/>
    </row>
    <row r="922" spans="2:2" ht="12.75" x14ac:dyDescent="0.2">
      <c r="B922" s="13"/>
    </row>
    <row r="923" spans="2:2" ht="12.75" x14ac:dyDescent="0.2">
      <c r="B923" s="13"/>
    </row>
    <row r="924" spans="2:2" ht="12.75" x14ac:dyDescent="0.2">
      <c r="B924" s="13"/>
    </row>
    <row r="925" spans="2:2" ht="12.75" x14ac:dyDescent="0.2">
      <c r="B925" s="13"/>
    </row>
    <row r="926" spans="2:2" ht="12.75" x14ac:dyDescent="0.2">
      <c r="B926" s="13"/>
    </row>
    <row r="927" spans="2:2" ht="12.75" x14ac:dyDescent="0.2">
      <c r="B927" s="13"/>
    </row>
    <row r="928" spans="2:2" ht="12.75" x14ac:dyDescent="0.2">
      <c r="B928" s="13"/>
    </row>
    <row r="929" spans="2:2" ht="12.75" x14ac:dyDescent="0.2">
      <c r="B929" s="13"/>
    </row>
    <row r="930" spans="2:2" ht="12.75" x14ac:dyDescent="0.2">
      <c r="B930" s="13"/>
    </row>
    <row r="931" spans="2:2" ht="12.75" x14ac:dyDescent="0.2">
      <c r="B931" s="13"/>
    </row>
    <row r="932" spans="2:2" ht="12.75" x14ac:dyDescent="0.2">
      <c r="B932" s="13"/>
    </row>
    <row r="933" spans="2:2" ht="12.75" x14ac:dyDescent="0.2">
      <c r="B933" s="13"/>
    </row>
    <row r="934" spans="2:2" ht="12.75" x14ac:dyDescent="0.2">
      <c r="B934" s="13"/>
    </row>
    <row r="935" spans="2:2" ht="12.75" x14ac:dyDescent="0.2">
      <c r="B935" s="13"/>
    </row>
    <row r="936" spans="2:2" ht="12.75" x14ac:dyDescent="0.2">
      <c r="B936" s="13"/>
    </row>
    <row r="937" spans="2:2" ht="12.75" x14ac:dyDescent="0.2">
      <c r="B937" s="13"/>
    </row>
    <row r="938" spans="2:2" ht="12.75" x14ac:dyDescent="0.2">
      <c r="B938" s="13"/>
    </row>
    <row r="939" spans="2:2" ht="12.75" x14ac:dyDescent="0.2">
      <c r="B939" s="13"/>
    </row>
    <row r="940" spans="2:2" ht="12.75" x14ac:dyDescent="0.2">
      <c r="B940" s="13"/>
    </row>
    <row r="941" spans="2:2" ht="12.75" x14ac:dyDescent="0.2">
      <c r="B941" s="13"/>
    </row>
    <row r="942" spans="2:2" ht="12.75" x14ac:dyDescent="0.2">
      <c r="B942" s="13"/>
    </row>
    <row r="943" spans="2:2" ht="12.75" x14ac:dyDescent="0.2">
      <c r="B943" s="13"/>
    </row>
    <row r="944" spans="2:2" ht="12.75" x14ac:dyDescent="0.2">
      <c r="B944" s="13"/>
    </row>
    <row r="945" spans="2:2" ht="12.75" x14ac:dyDescent="0.2">
      <c r="B945" s="13"/>
    </row>
    <row r="946" spans="2:2" ht="12.75" x14ac:dyDescent="0.2">
      <c r="B946" s="13"/>
    </row>
    <row r="947" spans="2:2" ht="12.75" x14ac:dyDescent="0.2">
      <c r="B947" s="13"/>
    </row>
    <row r="948" spans="2:2" ht="12.75" x14ac:dyDescent="0.2">
      <c r="B948" s="13"/>
    </row>
    <row r="949" spans="2:2" ht="12.75" x14ac:dyDescent="0.2">
      <c r="B949" s="13"/>
    </row>
    <row r="950" spans="2:2" ht="12.75" x14ac:dyDescent="0.2">
      <c r="B950" s="13"/>
    </row>
    <row r="951" spans="2:2" ht="12.75" x14ac:dyDescent="0.2">
      <c r="B951" s="13"/>
    </row>
    <row r="952" spans="2:2" ht="12.75" x14ac:dyDescent="0.2">
      <c r="B952" s="13"/>
    </row>
    <row r="953" spans="2:2" ht="12.75" x14ac:dyDescent="0.2">
      <c r="B953" s="13"/>
    </row>
    <row r="954" spans="2:2" ht="12.75" x14ac:dyDescent="0.2">
      <c r="B954" s="13"/>
    </row>
    <row r="955" spans="2:2" ht="12.75" x14ac:dyDescent="0.2">
      <c r="B955" s="13"/>
    </row>
    <row r="956" spans="2:2" ht="12.75" x14ac:dyDescent="0.2">
      <c r="B956" s="13"/>
    </row>
    <row r="957" spans="2:2" ht="12.75" x14ac:dyDescent="0.2">
      <c r="B957" s="13"/>
    </row>
    <row r="958" spans="2:2" ht="12.75" x14ac:dyDescent="0.2">
      <c r="B958" s="13"/>
    </row>
    <row r="959" spans="2:2" ht="12.75" x14ac:dyDescent="0.2">
      <c r="B959" s="13"/>
    </row>
    <row r="960" spans="2:2" ht="12.75" x14ac:dyDescent="0.2">
      <c r="B960" s="13"/>
    </row>
    <row r="961" spans="2:2" ht="12.75" x14ac:dyDescent="0.2">
      <c r="B961" s="13"/>
    </row>
    <row r="962" spans="2:2" ht="12.75" x14ac:dyDescent="0.2">
      <c r="B962" s="13"/>
    </row>
    <row r="963" spans="2:2" ht="12.75" x14ac:dyDescent="0.2">
      <c r="B963" s="13"/>
    </row>
    <row r="964" spans="2:2" ht="12.75" x14ac:dyDescent="0.2">
      <c r="B964" s="13"/>
    </row>
    <row r="965" spans="2:2" ht="12.75" x14ac:dyDescent="0.2">
      <c r="B965" s="13"/>
    </row>
    <row r="966" spans="2:2" ht="12.75" x14ac:dyDescent="0.2">
      <c r="B966" s="13"/>
    </row>
    <row r="967" spans="2:2" ht="12.75" x14ac:dyDescent="0.2">
      <c r="B967" s="13"/>
    </row>
    <row r="968" spans="2:2" ht="12.75" x14ac:dyDescent="0.2">
      <c r="B968" s="13"/>
    </row>
    <row r="969" spans="2:2" ht="12.75" x14ac:dyDescent="0.2">
      <c r="B969" s="13"/>
    </row>
    <row r="970" spans="2:2" ht="12.75" x14ac:dyDescent="0.2">
      <c r="B970" s="13"/>
    </row>
    <row r="971" spans="2:2" ht="12.75" x14ac:dyDescent="0.2">
      <c r="B971" s="13"/>
    </row>
    <row r="972" spans="2:2" ht="12.75" x14ac:dyDescent="0.2">
      <c r="B972" s="13"/>
    </row>
    <row r="973" spans="2:2" ht="12.75" x14ac:dyDescent="0.2">
      <c r="B973" s="13"/>
    </row>
    <row r="974" spans="2:2" ht="12.75" x14ac:dyDescent="0.2">
      <c r="B974" s="13"/>
    </row>
    <row r="975" spans="2:2" ht="12.75" x14ac:dyDescent="0.2">
      <c r="B975" s="13"/>
    </row>
    <row r="976" spans="2:2" ht="12.75" x14ac:dyDescent="0.2">
      <c r="B976" s="13"/>
    </row>
    <row r="977" spans="2:2" ht="12.75" x14ac:dyDescent="0.2">
      <c r="B977" s="13"/>
    </row>
    <row r="978" spans="2:2" ht="12.75" x14ac:dyDescent="0.2">
      <c r="B978" s="13"/>
    </row>
    <row r="979" spans="2:2" ht="12.75" x14ac:dyDescent="0.2">
      <c r="B979" s="13"/>
    </row>
    <row r="980" spans="2:2" ht="12.75" x14ac:dyDescent="0.2">
      <c r="B980" s="13"/>
    </row>
    <row r="981" spans="2:2" ht="12.75" x14ac:dyDescent="0.2">
      <c r="B981" s="13"/>
    </row>
    <row r="982" spans="2:2" ht="12.75" x14ac:dyDescent="0.2">
      <c r="B982" s="13"/>
    </row>
    <row r="983" spans="2:2" ht="12.75" x14ac:dyDescent="0.2">
      <c r="B983" s="13"/>
    </row>
    <row r="984" spans="2:2" ht="12.75" x14ac:dyDescent="0.2">
      <c r="B984" s="13"/>
    </row>
    <row r="985" spans="2:2" ht="12.75" x14ac:dyDescent="0.2">
      <c r="B985" s="13"/>
    </row>
    <row r="986" spans="2:2" ht="12.75" x14ac:dyDescent="0.2">
      <c r="B986" s="13"/>
    </row>
    <row r="987" spans="2:2" ht="12.75" x14ac:dyDescent="0.2">
      <c r="B987" s="13"/>
    </row>
    <row r="988" spans="2:2" ht="12.75" x14ac:dyDescent="0.2">
      <c r="B988" s="13"/>
    </row>
    <row r="989" spans="2:2" ht="12.75" x14ac:dyDescent="0.2">
      <c r="B989" s="13"/>
    </row>
    <row r="990" spans="2:2" ht="12.75" x14ac:dyDescent="0.2">
      <c r="B990" s="13"/>
    </row>
    <row r="991" spans="2:2" ht="12.75" x14ac:dyDescent="0.2">
      <c r="B991" s="13"/>
    </row>
    <row r="992" spans="2:2" ht="12.75" x14ac:dyDescent="0.2">
      <c r="B992" s="13"/>
    </row>
    <row r="993" spans="2:2" ht="12.75" x14ac:dyDescent="0.2">
      <c r="B993" s="13"/>
    </row>
    <row r="994" spans="2:2" ht="12.75" x14ac:dyDescent="0.2">
      <c r="B994" s="13"/>
    </row>
    <row r="995" spans="2:2" ht="12.75" x14ac:dyDescent="0.2">
      <c r="B995" s="13"/>
    </row>
    <row r="996" spans="2:2" ht="12.75" x14ac:dyDescent="0.2">
      <c r="B996" s="13"/>
    </row>
    <row r="997" spans="2:2" ht="12.75" x14ac:dyDescent="0.2">
      <c r="B997" s="13"/>
    </row>
    <row r="998" spans="2:2" ht="12.75" x14ac:dyDescent="0.2">
      <c r="B998" s="13"/>
    </row>
    <row r="999" spans="2:2" ht="12.75" x14ac:dyDescent="0.2">
      <c r="B999" s="13"/>
    </row>
    <row r="1000" spans="2:2" ht="12.75" x14ac:dyDescent="0.2">
      <c r="B1000" s="13"/>
    </row>
    <row r="1001" spans="2:2" ht="12.75" x14ac:dyDescent="0.2">
      <c r="B1001" s="13"/>
    </row>
    <row r="1002" spans="2:2" ht="12.75" x14ac:dyDescent="0.2">
      <c r="B1002" s="13"/>
    </row>
    <row r="1003" spans="2:2" ht="12.75" x14ac:dyDescent="0.2">
      <c r="B1003" s="13"/>
    </row>
    <row r="1004" spans="2:2" ht="12.75" x14ac:dyDescent="0.2">
      <c r="B1004" s="13"/>
    </row>
    <row r="1005" spans="2:2" ht="12.75" x14ac:dyDescent="0.2">
      <c r="B1005" s="13"/>
    </row>
    <row r="1006" spans="2:2" ht="12.75" x14ac:dyDescent="0.2">
      <c r="B1006" s="13"/>
    </row>
    <row r="1007" spans="2:2" ht="12.75" x14ac:dyDescent="0.2">
      <c r="B1007" s="13"/>
    </row>
    <row r="1008" spans="2:2" ht="12.75" x14ac:dyDescent="0.2">
      <c r="B1008" s="13"/>
    </row>
    <row r="1009" spans="2:2" ht="12.75" x14ac:dyDescent="0.2">
      <c r="B1009" s="13"/>
    </row>
  </sheetData>
  <conditionalFormatting sqref="B4:I120">
    <cfRule type="expression" dxfId="2" priority="6">
      <formula>$D4="Ahorro"</formula>
    </cfRule>
    <cfRule type="expression" dxfId="1" priority="7">
      <formula>$D4="Gastos del mes"</formula>
    </cfRule>
    <cfRule type="expression" dxfId="0" priority="8">
      <formula>$D4="Deseos"</formula>
    </cfRule>
  </conditionalFormatting>
  <dataValidations count="3">
    <dataValidation type="list" allowBlank="1" showErrorMessage="1" sqref="D4:D120" xr:uid="{00000000-0002-0000-0200-000000000000}">
      <formula1>$W$3:$W$5</formula1>
    </dataValidation>
    <dataValidation type="list" allowBlank="1" showErrorMessage="1" sqref="E4:E120" xr:uid="{00000000-0002-0000-0200-000001000000}">
      <formula1>$X$3:$X$21</formula1>
    </dataValidation>
    <dataValidation allowBlank="1" showErrorMessage="1" sqref="F4:F120" xr:uid="{00000000-0002-0000-0200-000002000000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Inversiones</vt:lpstr>
      <vt:lpstr>Registros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sklesse</dc:creator>
  <cp:lastModifiedBy>Simón</cp:lastModifiedBy>
  <dcterms:created xsi:type="dcterms:W3CDTF">2026-04-13T14:50:02Z</dcterms:created>
  <dcterms:modified xsi:type="dcterms:W3CDTF">2026-05-30T23:14:19Z</dcterms:modified>
</cp:coreProperties>
</file>